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销售数据明细" sheetId="2" r:id="rId5"/>
    <sheet name="月度销售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<sst xmlns="http://schemas.openxmlformats.org/spreadsheetml/2006/main" count="1541" uniqueCount="1541">
  <si>
    <t xml:space="preserve">  </t>
  </si>
  <si>
    <t xml:space="preserve">2024年电商销售数据明细</t>
  </si>
  <si>
    <t xml:space="preserve">订单ID</t>
  </si>
  <si>
    <t xml:space="preserve">订单日期</t>
  </si>
  <si>
    <t xml:space="preserve">店铺名称</t>
  </si>
  <si>
    <t xml:space="preserve">商品分类</t>
  </si>
  <si>
    <t xml:space="preserve">商品名称</t>
  </si>
  <si>
    <t xml:space="preserve">销售数量</t>
  </si>
  <si>
    <t xml:space="preserve">单价(元)</t>
  </si>
  <si>
    <t xml:space="preserve">销售金额(元)</t>
  </si>
  <si>
    <t xml:space="preserve">成本金额(元)</t>
  </si>
  <si>
    <t xml:space="preserve">利润(元)</t>
  </si>
  <si>
    <t xml:space="preserve">利润率</t>
  </si>
  <si>
    <t xml:space="preserve">ORD000001</t>
  </si>
  <si>
    <t xml:space="preserve">折扣专营店</t>
  </si>
  <si>
    <t xml:space="preserve">美妆个护</t>
  </si>
  <si>
    <t xml:space="preserve">沐浴露</t>
  </si>
  <si>
    <t xml:space="preserve">ORD000002</t>
  </si>
  <si>
    <t xml:space="preserve">跨境电商店</t>
  </si>
  <si>
    <t xml:space="preserve">美妆个护</t>
  </si>
  <si>
    <t xml:space="preserve">面膜</t>
  </si>
  <si>
    <t xml:space="preserve">ORD000003</t>
  </si>
  <si>
    <t xml:space="preserve">折扣专营店</t>
  </si>
  <si>
    <t xml:space="preserve">食品生鲜</t>
  </si>
  <si>
    <t xml:space="preserve">牛奶</t>
  </si>
  <si>
    <t xml:space="preserve">ORD000004</t>
  </si>
  <si>
    <t xml:space="preserve">品牌专卖店</t>
  </si>
  <si>
    <t xml:space="preserve">家居生活</t>
  </si>
  <si>
    <t xml:space="preserve">保温杯</t>
  </si>
  <si>
    <t xml:space="preserve">ORD000005</t>
  </si>
  <si>
    <t xml:space="preserve">官方旗舰店</t>
  </si>
  <si>
    <t xml:space="preserve">服饰鞋包</t>
  </si>
  <si>
    <t xml:space="preserve">连衣裙</t>
  </si>
  <si>
    <t xml:space="preserve">ORD000006</t>
  </si>
  <si>
    <t xml:space="preserve">跨境电商店</t>
  </si>
  <si>
    <t xml:space="preserve">服饰鞋包</t>
  </si>
  <si>
    <t xml:space="preserve">休闲卫衣</t>
  </si>
  <si>
    <t xml:space="preserve">ORD000007</t>
  </si>
  <si>
    <t xml:space="preserve">跨境电商店</t>
  </si>
  <si>
    <t xml:space="preserve">家居生活</t>
  </si>
  <si>
    <t xml:space="preserve">收纳箱</t>
  </si>
  <si>
    <t xml:space="preserve">ORD000008</t>
  </si>
  <si>
    <t xml:space="preserve">官方旗舰店</t>
  </si>
  <si>
    <t xml:space="preserve">家居生活</t>
  </si>
  <si>
    <t xml:space="preserve">空气净化器</t>
  </si>
  <si>
    <t xml:space="preserve">ORD000009</t>
  </si>
  <si>
    <t xml:space="preserve">跨境电商店</t>
  </si>
  <si>
    <t xml:space="preserve">3C数码</t>
  </si>
  <si>
    <t xml:space="preserve">平板电脑</t>
  </si>
  <si>
    <t xml:space="preserve">ORD000010</t>
  </si>
  <si>
    <t xml:space="preserve">品牌专卖店</t>
  </si>
  <si>
    <t xml:space="preserve">家居生活</t>
  </si>
  <si>
    <t xml:space="preserve">床上四件套</t>
  </si>
  <si>
    <t xml:space="preserve">ORD000011</t>
  </si>
  <si>
    <t xml:space="preserve">跨境电商店</t>
  </si>
  <si>
    <t xml:space="preserve">食品生鲜</t>
  </si>
  <si>
    <t xml:space="preserve">肉类生鲜</t>
  </si>
  <si>
    <t xml:space="preserve">ORD000012</t>
  </si>
  <si>
    <t xml:space="preserve">品牌专卖店</t>
  </si>
  <si>
    <t xml:space="preserve">3C数码</t>
  </si>
  <si>
    <t xml:space="preserve">智能手表</t>
  </si>
  <si>
    <t xml:space="preserve">ORD000013</t>
  </si>
  <si>
    <t xml:space="preserve">品牌专卖店</t>
  </si>
  <si>
    <t xml:space="preserve">3C数码</t>
  </si>
  <si>
    <t xml:space="preserve">智能手机</t>
  </si>
  <si>
    <t xml:space="preserve">ORD000014</t>
  </si>
  <si>
    <t xml:space="preserve">品牌专卖店</t>
  </si>
  <si>
    <t xml:space="preserve">家居生活</t>
  </si>
  <si>
    <t xml:space="preserve">空气净化器</t>
  </si>
  <si>
    <t xml:space="preserve">ORD000015</t>
  </si>
  <si>
    <t xml:space="preserve">折扣专营店</t>
  </si>
  <si>
    <t xml:space="preserve">服饰鞋包</t>
  </si>
  <si>
    <t xml:space="preserve">运动鞋</t>
  </si>
  <si>
    <t xml:space="preserve">ORD000016</t>
  </si>
  <si>
    <t xml:space="preserve">品牌专卖店</t>
  </si>
  <si>
    <t xml:space="preserve">3C数码</t>
  </si>
  <si>
    <t xml:space="preserve">平板电脑</t>
  </si>
  <si>
    <t xml:space="preserve">ORD000017</t>
  </si>
  <si>
    <t xml:space="preserve">官方旗舰店</t>
  </si>
  <si>
    <t xml:space="preserve">食品生鲜</t>
  </si>
  <si>
    <t xml:space="preserve">肉类生鲜</t>
  </si>
  <si>
    <t xml:space="preserve">ORD000018</t>
  </si>
  <si>
    <t xml:space="preserve">折扣专营店</t>
  </si>
  <si>
    <t xml:space="preserve">家居生活</t>
  </si>
  <si>
    <t xml:space="preserve">保温杯</t>
  </si>
  <si>
    <t xml:space="preserve">ORD000019</t>
  </si>
  <si>
    <t xml:space="preserve">跨境电商店</t>
  </si>
  <si>
    <t xml:space="preserve">3C数码</t>
  </si>
  <si>
    <t xml:space="preserve">笔记本电脑</t>
  </si>
  <si>
    <t xml:space="preserve">ORD000020</t>
  </si>
  <si>
    <t xml:space="preserve">折扣专营店</t>
  </si>
  <si>
    <t xml:space="preserve">美妆个护</t>
  </si>
  <si>
    <t xml:space="preserve">洗发水</t>
  </si>
  <si>
    <t xml:space="preserve">ORD000021</t>
  </si>
  <si>
    <t xml:space="preserve">折扣专营店</t>
  </si>
  <si>
    <t xml:space="preserve">美妆个护</t>
  </si>
  <si>
    <t xml:space="preserve">粉底液</t>
  </si>
  <si>
    <t xml:space="preserve">ORD000022</t>
  </si>
  <si>
    <t xml:space="preserve">跨境电商店</t>
  </si>
  <si>
    <t xml:space="preserve">3C数码</t>
  </si>
  <si>
    <t xml:space="preserve">平板电脑</t>
  </si>
  <si>
    <t xml:space="preserve">ORD000023</t>
  </si>
  <si>
    <t xml:space="preserve">品牌专卖店</t>
  </si>
  <si>
    <t xml:space="preserve">3C数码</t>
  </si>
  <si>
    <t xml:space="preserve">智能手表</t>
  </si>
  <si>
    <t xml:space="preserve">ORD000024</t>
  </si>
  <si>
    <t xml:space="preserve">折扣专营店</t>
  </si>
  <si>
    <t xml:space="preserve">3C数码</t>
  </si>
  <si>
    <t xml:space="preserve">笔记本电脑</t>
  </si>
  <si>
    <t xml:space="preserve">ORD000025</t>
  </si>
  <si>
    <t xml:space="preserve">官方旗舰店</t>
  </si>
  <si>
    <t xml:space="preserve">家居生活</t>
  </si>
  <si>
    <t xml:space="preserve">扫地机器人</t>
  </si>
  <si>
    <t xml:space="preserve">ORD000026</t>
  </si>
  <si>
    <t xml:space="preserve">官方旗舰店</t>
  </si>
  <si>
    <t xml:space="preserve">服饰鞋包</t>
  </si>
  <si>
    <t xml:space="preserve">牛仔裤</t>
  </si>
  <si>
    <t xml:space="preserve">ORD000027</t>
  </si>
  <si>
    <t xml:space="preserve">折扣专营店</t>
  </si>
  <si>
    <t xml:space="preserve">3C数码</t>
  </si>
  <si>
    <t xml:space="preserve">笔记本电脑</t>
  </si>
  <si>
    <t xml:space="preserve">ORD000028</t>
  </si>
  <si>
    <t xml:space="preserve">官方旗舰店</t>
  </si>
  <si>
    <t xml:space="preserve">家居生活</t>
  </si>
  <si>
    <t xml:space="preserve">床上四件套</t>
  </si>
  <si>
    <t xml:space="preserve">ORD000029</t>
  </si>
  <si>
    <t xml:space="preserve">折扣专营店</t>
  </si>
  <si>
    <t xml:space="preserve">家居生活</t>
  </si>
  <si>
    <t xml:space="preserve">床上四件套</t>
  </si>
  <si>
    <t xml:space="preserve">ORD000030</t>
  </si>
  <si>
    <t xml:space="preserve">折扣专营店</t>
  </si>
  <si>
    <t xml:space="preserve">3C数码</t>
  </si>
  <si>
    <t xml:space="preserve">平板电脑</t>
  </si>
  <si>
    <t xml:space="preserve">ORD000031</t>
  </si>
  <si>
    <t xml:space="preserve">跨境电商店</t>
  </si>
  <si>
    <t xml:space="preserve">3C数码</t>
  </si>
  <si>
    <t xml:space="preserve">笔记本电脑</t>
  </si>
  <si>
    <t xml:space="preserve">ORD000032</t>
  </si>
  <si>
    <t xml:space="preserve">折扣专营店</t>
  </si>
  <si>
    <t xml:space="preserve">食品生鲜</t>
  </si>
  <si>
    <t xml:space="preserve">牛奶</t>
  </si>
  <si>
    <t xml:space="preserve">ORD000033</t>
  </si>
  <si>
    <t xml:space="preserve">折扣专营店</t>
  </si>
  <si>
    <t xml:space="preserve">家居生活</t>
  </si>
  <si>
    <t xml:space="preserve">空气净化器</t>
  </si>
  <si>
    <t xml:space="preserve">ORD000034</t>
  </si>
  <si>
    <t xml:space="preserve">跨境电商店</t>
  </si>
  <si>
    <t xml:space="preserve">美妆个护</t>
  </si>
  <si>
    <t xml:space="preserve">面膜</t>
  </si>
  <si>
    <t xml:space="preserve">ORD000035</t>
  </si>
  <si>
    <t xml:space="preserve">折扣专营店</t>
  </si>
  <si>
    <t xml:space="preserve">服饰鞋包</t>
  </si>
  <si>
    <t xml:space="preserve">单肩包</t>
  </si>
  <si>
    <t xml:space="preserve">ORD000036</t>
  </si>
  <si>
    <t xml:space="preserve">跨境电商店</t>
  </si>
  <si>
    <t xml:space="preserve">美妆个护</t>
  </si>
  <si>
    <t xml:space="preserve">沐浴露</t>
  </si>
  <si>
    <t xml:space="preserve">ORD000037</t>
  </si>
  <si>
    <t xml:space="preserve">跨境电商店</t>
  </si>
  <si>
    <t xml:space="preserve">3C数码</t>
  </si>
  <si>
    <t xml:space="preserve">无线耳机</t>
  </si>
  <si>
    <t xml:space="preserve">ORD000038</t>
  </si>
  <si>
    <t xml:space="preserve">品牌专卖店</t>
  </si>
  <si>
    <t xml:space="preserve">家居生活</t>
  </si>
  <si>
    <t xml:space="preserve">扫地机器人</t>
  </si>
  <si>
    <t xml:space="preserve">ORD000039</t>
  </si>
  <si>
    <t xml:space="preserve">跨境电商店</t>
  </si>
  <si>
    <t xml:space="preserve">家居生活</t>
  </si>
  <si>
    <t xml:space="preserve">空气净化器</t>
  </si>
  <si>
    <t xml:space="preserve">ORD000040</t>
  </si>
  <si>
    <t xml:space="preserve">折扣专营店</t>
  </si>
  <si>
    <t xml:space="preserve">3C数码</t>
  </si>
  <si>
    <t xml:space="preserve">无线耳机</t>
  </si>
  <si>
    <t xml:space="preserve">ORD000041</t>
  </si>
  <si>
    <t xml:space="preserve">折扣专营店</t>
  </si>
  <si>
    <t xml:space="preserve">食品生鲜</t>
  </si>
  <si>
    <t xml:space="preserve">肉类生鲜</t>
  </si>
  <si>
    <t xml:space="preserve">ORD000042</t>
  </si>
  <si>
    <t xml:space="preserve">官方旗舰店</t>
  </si>
  <si>
    <t xml:space="preserve">食品生鲜</t>
  </si>
  <si>
    <t xml:space="preserve">肉类生鲜</t>
  </si>
  <si>
    <t xml:space="preserve">ORD000043</t>
  </si>
  <si>
    <t xml:space="preserve">跨境电商店</t>
  </si>
  <si>
    <t xml:space="preserve">服饰鞋包</t>
  </si>
  <si>
    <t xml:space="preserve">运动鞋</t>
  </si>
  <si>
    <t xml:space="preserve">ORD000044</t>
  </si>
  <si>
    <t xml:space="preserve">折扣专营店</t>
  </si>
  <si>
    <t xml:space="preserve">3C数码</t>
  </si>
  <si>
    <t xml:space="preserve">笔记本电脑</t>
  </si>
  <si>
    <t xml:space="preserve">ORD000045</t>
  </si>
  <si>
    <t xml:space="preserve">官方旗舰店</t>
  </si>
  <si>
    <t xml:space="preserve">服饰鞋包</t>
  </si>
  <si>
    <t xml:space="preserve">牛仔裤</t>
  </si>
  <si>
    <t xml:space="preserve">ORD000046</t>
  </si>
  <si>
    <t xml:space="preserve">折扣专营店</t>
  </si>
  <si>
    <t xml:space="preserve">家居生活</t>
  </si>
  <si>
    <t xml:space="preserve">收纳箱</t>
  </si>
  <si>
    <t xml:space="preserve">ORD000047</t>
  </si>
  <si>
    <t xml:space="preserve">跨境电商店</t>
  </si>
  <si>
    <t xml:space="preserve">3C数码</t>
  </si>
  <si>
    <t xml:space="preserve">智能手表</t>
  </si>
  <si>
    <t xml:space="preserve">ORD000048</t>
  </si>
  <si>
    <t xml:space="preserve">官方旗舰店</t>
  </si>
  <si>
    <t xml:space="preserve">美妆个护</t>
  </si>
  <si>
    <t xml:space="preserve">口红</t>
  </si>
  <si>
    <t xml:space="preserve">ORD000049</t>
  </si>
  <si>
    <t xml:space="preserve">折扣专营店</t>
  </si>
  <si>
    <t xml:space="preserve">食品生鲜</t>
  </si>
  <si>
    <t xml:space="preserve">坚果礼盒</t>
  </si>
  <si>
    <t xml:space="preserve">ORD000050</t>
  </si>
  <si>
    <t xml:space="preserve">官方旗舰店</t>
  </si>
  <si>
    <t xml:space="preserve">3C数码</t>
  </si>
  <si>
    <t xml:space="preserve">智能手机</t>
  </si>
  <si>
    <t xml:space="preserve">ORD000051</t>
  </si>
  <si>
    <t xml:space="preserve">折扣专营店</t>
  </si>
  <si>
    <t xml:space="preserve">服饰鞋包</t>
  </si>
  <si>
    <t xml:space="preserve">休闲卫衣</t>
  </si>
  <si>
    <t xml:space="preserve">ORD000052</t>
  </si>
  <si>
    <t xml:space="preserve">折扣专营店</t>
  </si>
  <si>
    <t xml:space="preserve">3C数码</t>
  </si>
  <si>
    <t xml:space="preserve">智能手表</t>
  </si>
  <si>
    <t xml:space="preserve">ORD000053</t>
  </si>
  <si>
    <t xml:space="preserve">跨境电商店</t>
  </si>
  <si>
    <t xml:space="preserve">服饰鞋包</t>
  </si>
  <si>
    <t xml:space="preserve">休闲卫衣</t>
  </si>
  <si>
    <t xml:space="preserve">ORD000054</t>
  </si>
  <si>
    <t xml:space="preserve">官方旗舰店</t>
  </si>
  <si>
    <t xml:space="preserve">家居生活</t>
  </si>
  <si>
    <t xml:space="preserve">床上四件套</t>
  </si>
  <si>
    <t xml:space="preserve">ORD000055</t>
  </si>
  <si>
    <t xml:space="preserve">品牌专卖店</t>
  </si>
  <si>
    <t xml:space="preserve">食品生鲜</t>
  </si>
  <si>
    <t xml:space="preserve">水果礼盒</t>
  </si>
  <si>
    <t xml:space="preserve">ORD000056</t>
  </si>
  <si>
    <t xml:space="preserve">官方旗舰店</t>
  </si>
  <si>
    <t xml:space="preserve">3C数码</t>
  </si>
  <si>
    <t xml:space="preserve">笔记本电脑</t>
  </si>
  <si>
    <t xml:space="preserve">ORD000057</t>
  </si>
  <si>
    <t xml:space="preserve">官方旗舰店</t>
  </si>
  <si>
    <t xml:space="preserve">3C数码</t>
  </si>
  <si>
    <t xml:space="preserve">智能手机</t>
  </si>
  <si>
    <t xml:space="preserve">ORD000058</t>
  </si>
  <si>
    <t xml:space="preserve">跨境电商店</t>
  </si>
  <si>
    <t xml:space="preserve">3C数码</t>
  </si>
  <si>
    <t xml:space="preserve">智能手表</t>
  </si>
  <si>
    <t xml:space="preserve">ORD000059</t>
  </si>
  <si>
    <t xml:space="preserve">品牌专卖店</t>
  </si>
  <si>
    <t xml:space="preserve">食品生鲜</t>
  </si>
  <si>
    <t xml:space="preserve">零食大礼包</t>
  </si>
  <si>
    <t xml:space="preserve">ORD000060</t>
  </si>
  <si>
    <t xml:space="preserve">跨境电商店</t>
  </si>
  <si>
    <t xml:space="preserve">3C数码</t>
  </si>
  <si>
    <t xml:space="preserve">笔记本电脑</t>
  </si>
  <si>
    <t xml:space="preserve">ORD000061</t>
  </si>
  <si>
    <t xml:space="preserve">官方旗舰店</t>
  </si>
  <si>
    <t xml:space="preserve">服饰鞋包</t>
  </si>
  <si>
    <t xml:space="preserve">连衣裙</t>
  </si>
  <si>
    <t xml:space="preserve">ORD000062</t>
  </si>
  <si>
    <t xml:space="preserve">折扣专营店</t>
  </si>
  <si>
    <t xml:space="preserve">服饰鞋包</t>
  </si>
  <si>
    <t xml:space="preserve">休闲卫衣</t>
  </si>
  <si>
    <t xml:space="preserve">ORD000063</t>
  </si>
  <si>
    <t xml:space="preserve">跨境电商店</t>
  </si>
  <si>
    <t xml:space="preserve">食品生鲜</t>
  </si>
  <si>
    <t xml:space="preserve">零食大礼包</t>
  </si>
  <si>
    <t xml:space="preserve">ORD000064</t>
  </si>
  <si>
    <t xml:space="preserve">品牌专卖店</t>
  </si>
  <si>
    <t xml:space="preserve">家居生活</t>
  </si>
  <si>
    <t xml:space="preserve">收纳箱</t>
  </si>
  <si>
    <t xml:space="preserve">ORD000065</t>
  </si>
  <si>
    <t xml:space="preserve">品牌专卖店</t>
  </si>
  <si>
    <t xml:space="preserve">服饰鞋包</t>
  </si>
  <si>
    <t xml:space="preserve">运动鞋</t>
  </si>
  <si>
    <t xml:space="preserve">ORD000066</t>
  </si>
  <si>
    <t xml:space="preserve">折扣专营店</t>
  </si>
  <si>
    <t xml:space="preserve">家居生活</t>
  </si>
  <si>
    <t xml:space="preserve">空气净化器</t>
  </si>
  <si>
    <t xml:space="preserve">ORD000067</t>
  </si>
  <si>
    <t xml:space="preserve">跨境电商店</t>
  </si>
  <si>
    <t xml:space="preserve">3C数码</t>
  </si>
  <si>
    <t xml:space="preserve">笔记本电脑</t>
  </si>
  <si>
    <t xml:space="preserve">ORD000068</t>
  </si>
  <si>
    <t xml:space="preserve">官方旗舰店</t>
  </si>
  <si>
    <t xml:space="preserve">家居生活</t>
  </si>
  <si>
    <t xml:space="preserve">床上四件套</t>
  </si>
  <si>
    <t xml:space="preserve">ORD000069</t>
  </si>
  <si>
    <t xml:space="preserve">官方旗舰店</t>
  </si>
  <si>
    <t xml:space="preserve">3C数码</t>
  </si>
  <si>
    <t xml:space="preserve">平板电脑</t>
  </si>
  <si>
    <t xml:space="preserve">ORD000070</t>
  </si>
  <si>
    <t xml:space="preserve">品牌专卖店</t>
  </si>
  <si>
    <t xml:space="preserve">3C数码</t>
  </si>
  <si>
    <t xml:space="preserve">智能手表</t>
  </si>
  <si>
    <t xml:space="preserve">ORD000071</t>
  </si>
  <si>
    <t xml:space="preserve">折扣专营店</t>
  </si>
  <si>
    <t xml:space="preserve">美妆个护</t>
  </si>
  <si>
    <t xml:space="preserve">面膜</t>
  </si>
  <si>
    <t xml:space="preserve">ORD000072</t>
  </si>
  <si>
    <t xml:space="preserve">跨境电商店</t>
  </si>
  <si>
    <t xml:space="preserve">美妆个护</t>
  </si>
  <si>
    <t xml:space="preserve">粉底液</t>
  </si>
  <si>
    <t xml:space="preserve">ORD000073</t>
  </si>
  <si>
    <t xml:space="preserve">品牌专卖店</t>
  </si>
  <si>
    <t xml:space="preserve">美妆个护</t>
  </si>
  <si>
    <t xml:space="preserve">沐浴露</t>
  </si>
  <si>
    <t xml:space="preserve">ORD000074</t>
  </si>
  <si>
    <t xml:space="preserve">跨境电商店</t>
  </si>
  <si>
    <t xml:space="preserve">3C数码</t>
  </si>
  <si>
    <t xml:space="preserve">笔记本电脑</t>
  </si>
  <si>
    <t xml:space="preserve">ORD000075</t>
  </si>
  <si>
    <t xml:space="preserve">官方旗舰店</t>
  </si>
  <si>
    <t xml:space="preserve">美妆个护</t>
  </si>
  <si>
    <t xml:space="preserve">口红</t>
  </si>
  <si>
    <t xml:space="preserve">ORD000076</t>
  </si>
  <si>
    <t xml:space="preserve">官方旗舰店</t>
  </si>
  <si>
    <t xml:space="preserve">3C数码</t>
  </si>
  <si>
    <t xml:space="preserve">无线耳机</t>
  </si>
  <si>
    <t xml:space="preserve">ORD000077</t>
  </si>
  <si>
    <t xml:space="preserve">跨境电商店</t>
  </si>
  <si>
    <t xml:space="preserve">3C数码</t>
  </si>
  <si>
    <t xml:space="preserve">笔记本电脑</t>
  </si>
  <si>
    <t xml:space="preserve">ORD000078</t>
  </si>
  <si>
    <t xml:space="preserve">折扣专营店</t>
  </si>
  <si>
    <t xml:space="preserve">服饰鞋包</t>
  </si>
  <si>
    <t xml:space="preserve">单肩包</t>
  </si>
  <si>
    <t xml:space="preserve">ORD000079</t>
  </si>
  <si>
    <t xml:space="preserve">折扣专营店</t>
  </si>
  <si>
    <t xml:space="preserve">服饰鞋包</t>
  </si>
  <si>
    <t xml:space="preserve">休闲卫衣</t>
  </si>
  <si>
    <t xml:space="preserve">ORD000080</t>
  </si>
  <si>
    <t xml:space="preserve">品牌专卖店</t>
  </si>
  <si>
    <t xml:space="preserve">3C数码</t>
  </si>
  <si>
    <t xml:space="preserve">智能手表</t>
  </si>
  <si>
    <t xml:space="preserve">ORD000081</t>
  </si>
  <si>
    <t xml:space="preserve">跨境电商店</t>
  </si>
  <si>
    <t xml:space="preserve">美妆个护</t>
  </si>
  <si>
    <t xml:space="preserve">面膜</t>
  </si>
  <si>
    <t xml:space="preserve">ORD000082</t>
  </si>
  <si>
    <t xml:space="preserve">跨境电商店</t>
  </si>
  <si>
    <t xml:space="preserve">3C数码</t>
  </si>
  <si>
    <t xml:space="preserve">智能手表</t>
  </si>
  <si>
    <t xml:space="preserve">ORD000083</t>
  </si>
  <si>
    <t xml:space="preserve">官方旗舰店</t>
  </si>
  <si>
    <t xml:space="preserve">家居生活</t>
  </si>
  <si>
    <t xml:space="preserve">扫地机器人</t>
  </si>
  <si>
    <t xml:space="preserve">ORD000084</t>
  </si>
  <si>
    <t xml:space="preserve">跨境电商店</t>
  </si>
  <si>
    <t xml:space="preserve">美妆个护</t>
  </si>
  <si>
    <t xml:space="preserve">沐浴露</t>
  </si>
  <si>
    <t xml:space="preserve">ORD000085</t>
  </si>
  <si>
    <t xml:space="preserve">跨境电商店</t>
  </si>
  <si>
    <t xml:space="preserve">美妆个护</t>
  </si>
  <si>
    <t xml:space="preserve">粉底液</t>
  </si>
  <si>
    <t xml:space="preserve">ORD000086</t>
  </si>
  <si>
    <t xml:space="preserve">跨境电商店</t>
  </si>
  <si>
    <t xml:space="preserve">食品生鲜</t>
  </si>
  <si>
    <t xml:space="preserve">坚果礼盒</t>
  </si>
  <si>
    <t xml:space="preserve">ORD000087</t>
  </si>
  <si>
    <t xml:space="preserve">跨境电商店</t>
  </si>
  <si>
    <t xml:space="preserve">家居生活</t>
  </si>
  <si>
    <t xml:space="preserve">空气净化器</t>
  </si>
  <si>
    <t xml:space="preserve">ORD000088</t>
  </si>
  <si>
    <t xml:space="preserve">折扣专营店</t>
  </si>
  <si>
    <t xml:space="preserve">美妆个护</t>
  </si>
  <si>
    <t xml:space="preserve">面膜</t>
  </si>
  <si>
    <t xml:space="preserve">ORD000089</t>
  </si>
  <si>
    <t xml:space="preserve">折扣专营店</t>
  </si>
  <si>
    <t xml:space="preserve">美妆个护</t>
  </si>
  <si>
    <t xml:space="preserve">口红</t>
  </si>
  <si>
    <t xml:space="preserve">ORD000090</t>
  </si>
  <si>
    <t xml:space="preserve">官方旗舰店</t>
  </si>
  <si>
    <t xml:space="preserve">食品生鲜</t>
  </si>
  <si>
    <t xml:space="preserve">水果礼盒</t>
  </si>
  <si>
    <t xml:space="preserve">ORD000091</t>
  </si>
  <si>
    <t xml:space="preserve">官方旗舰店</t>
  </si>
  <si>
    <t xml:space="preserve">服饰鞋包</t>
  </si>
  <si>
    <t xml:space="preserve">运动鞋</t>
  </si>
  <si>
    <t xml:space="preserve">ORD000092</t>
  </si>
  <si>
    <t xml:space="preserve">跨境电商店</t>
  </si>
  <si>
    <t xml:space="preserve">家居生活</t>
  </si>
  <si>
    <t xml:space="preserve">床上四件套</t>
  </si>
  <si>
    <t xml:space="preserve">ORD000093</t>
  </si>
  <si>
    <t xml:space="preserve">跨境电商店</t>
  </si>
  <si>
    <t xml:space="preserve">美妆个护</t>
  </si>
  <si>
    <t xml:space="preserve">洗发水</t>
  </si>
  <si>
    <t xml:space="preserve">ORD000094</t>
  </si>
  <si>
    <t xml:space="preserve">跨境电商店</t>
  </si>
  <si>
    <t xml:space="preserve">服饰鞋包</t>
  </si>
  <si>
    <t xml:space="preserve">单肩包</t>
  </si>
  <si>
    <t xml:space="preserve">ORD000095</t>
  </si>
  <si>
    <t xml:space="preserve">折扣专营店</t>
  </si>
  <si>
    <t xml:space="preserve">服饰鞋包</t>
  </si>
  <si>
    <t xml:space="preserve">连衣裙</t>
  </si>
  <si>
    <t xml:space="preserve">ORD000096</t>
  </si>
  <si>
    <t xml:space="preserve">官方旗舰店</t>
  </si>
  <si>
    <t xml:space="preserve">服饰鞋包</t>
  </si>
  <si>
    <t xml:space="preserve">连衣裙</t>
  </si>
  <si>
    <t xml:space="preserve">ORD000097</t>
  </si>
  <si>
    <t xml:space="preserve">品牌专卖店</t>
  </si>
  <si>
    <t xml:space="preserve">美妆个护</t>
  </si>
  <si>
    <t xml:space="preserve">面膜</t>
  </si>
  <si>
    <t xml:space="preserve">ORD000098</t>
  </si>
  <si>
    <t xml:space="preserve">跨境电商店</t>
  </si>
  <si>
    <t xml:space="preserve">美妆个护</t>
  </si>
  <si>
    <t xml:space="preserve">口红</t>
  </si>
  <si>
    <t xml:space="preserve">ORD000099</t>
  </si>
  <si>
    <t xml:space="preserve">折扣专营店</t>
  </si>
  <si>
    <t xml:space="preserve">家居生活</t>
  </si>
  <si>
    <t xml:space="preserve">保温杯</t>
  </si>
  <si>
    <t xml:space="preserve">ORD000100</t>
  </si>
  <si>
    <t xml:space="preserve">品牌专卖店</t>
  </si>
  <si>
    <t xml:space="preserve">家居生活</t>
  </si>
  <si>
    <t xml:space="preserve">保温杯</t>
  </si>
  <si>
    <t xml:space="preserve">ORD000101</t>
  </si>
  <si>
    <t xml:space="preserve">折扣专营店</t>
  </si>
  <si>
    <t xml:space="preserve">3C数码</t>
  </si>
  <si>
    <t xml:space="preserve">无线耳机</t>
  </si>
  <si>
    <t xml:space="preserve">ORD000102</t>
  </si>
  <si>
    <t xml:space="preserve">跨境电商店</t>
  </si>
  <si>
    <t xml:space="preserve">食品生鲜</t>
  </si>
  <si>
    <t xml:space="preserve">坚果礼盒</t>
  </si>
  <si>
    <t xml:space="preserve">ORD000103</t>
  </si>
  <si>
    <t xml:space="preserve">品牌专卖店</t>
  </si>
  <si>
    <t xml:space="preserve">美妆个护</t>
  </si>
  <si>
    <t xml:space="preserve">沐浴露</t>
  </si>
  <si>
    <t xml:space="preserve">ORD000104</t>
  </si>
  <si>
    <t xml:space="preserve">折扣专营店</t>
  </si>
  <si>
    <t xml:space="preserve">美妆个护</t>
  </si>
  <si>
    <t xml:space="preserve">口红</t>
  </si>
  <si>
    <t xml:space="preserve">ORD000105</t>
  </si>
  <si>
    <t xml:space="preserve">跨境电商店</t>
  </si>
  <si>
    <t xml:space="preserve">食品生鲜</t>
  </si>
  <si>
    <t xml:space="preserve">牛奶</t>
  </si>
  <si>
    <t xml:space="preserve">ORD000106</t>
  </si>
  <si>
    <t xml:space="preserve">官方旗舰店</t>
  </si>
  <si>
    <t xml:space="preserve">服饰鞋包</t>
  </si>
  <si>
    <t xml:space="preserve">单肩包</t>
  </si>
  <si>
    <t xml:space="preserve">ORD000107</t>
  </si>
  <si>
    <t xml:space="preserve">品牌专卖店</t>
  </si>
  <si>
    <t xml:space="preserve">美妆个护</t>
  </si>
  <si>
    <t xml:space="preserve">口红</t>
  </si>
  <si>
    <t xml:space="preserve">ORD000108</t>
  </si>
  <si>
    <t xml:space="preserve">折扣专营店</t>
  </si>
  <si>
    <t xml:space="preserve">美妆个护</t>
  </si>
  <si>
    <t xml:space="preserve">口红</t>
  </si>
  <si>
    <t xml:space="preserve">ORD000109</t>
  </si>
  <si>
    <t xml:space="preserve">品牌专卖店</t>
  </si>
  <si>
    <t xml:space="preserve">3C数码</t>
  </si>
  <si>
    <t xml:space="preserve">平板电脑</t>
  </si>
  <si>
    <t xml:space="preserve">ORD000110</t>
  </si>
  <si>
    <t xml:space="preserve">折扣专营店</t>
  </si>
  <si>
    <t xml:space="preserve">服饰鞋包</t>
  </si>
  <si>
    <t xml:space="preserve">牛仔裤</t>
  </si>
  <si>
    <t xml:space="preserve">ORD000111</t>
  </si>
  <si>
    <t xml:space="preserve">品牌专卖店</t>
  </si>
  <si>
    <t xml:space="preserve">家居生活</t>
  </si>
  <si>
    <t xml:space="preserve">空气净化器</t>
  </si>
  <si>
    <t xml:space="preserve">ORD000112</t>
  </si>
  <si>
    <t xml:space="preserve">跨境电商店</t>
  </si>
  <si>
    <t xml:space="preserve">食品生鲜</t>
  </si>
  <si>
    <t xml:space="preserve">零食大礼包</t>
  </si>
  <si>
    <t xml:space="preserve">ORD000113</t>
  </si>
  <si>
    <t xml:space="preserve">官方旗舰店</t>
  </si>
  <si>
    <t xml:space="preserve">3C数码</t>
  </si>
  <si>
    <t xml:space="preserve">笔记本电脑</t>
  </si>
  <si>
    <t xml:space="preserve">ORD000114</t>
  </si>
  <si>
    <t xml:space="preserve">品牌专卖店</t>
  </si>
  <si>
    <t xml:space="preserve">3C数码</t>
  </si>
  <si>
    <t xml:space="preserve">平板电脑</t>
  </si>
  <si>
    <t xml:space="preserve">ORD000115</t>
  </si>
  <si>
    <t xml:space="preserve">官方旗舰店</t>
  </si>
  <si>
    <t xml:space="preserve">美妆个护</t>
  </si>
  <si>
    <t xml:space="preserve">沐浴露</t>
  </si>
  <si>
    <t xml:space="preserve">ORD000116</t>
  </si>
  <si>
    <t xml:space="preserve">官方旗舰店</t>
  </si>
  <si>
    <t xml:space="preserve">服饰鞋包</t>
  </si>
  <si>
    <t xml:space="preserve">连衣裙</t>
  </si>
  <si>
    <t xml:space="preserve">ORD000117</t>
  </si>
  <si>
    <t xml:space="preserve">跨境电商店</t>
  </si>
  <si>
    <t xml:space="preserve">食品生鲜</t>
  </si>
  <si>
    <t xml:space="preserve">水果礼盒</t>
  </si>
  <si>
    <t xml:space="preserve">ORD000118</t>
  </si>
  <si>
    <t xml:space="preserve">品牌专卖店</t>
  </si>
  <si>
    <t xml:space="preserve">3C数码</t>
  </si>
  <si>
    <t xml:space="preserve">无线耳机</t>
  </si>
  <si>
    <t xml:space="preserve">ORD000119</t>
  </si>
  <si>
    <t xml:space="preserve">官方旗舰店</t>
  </si>
  <si>
    <t xml:space="preserve">食品生鲜</t>
  </si>
  <si>
    <t xml:space="preserve">坚果礼盒</t>
  </si>
  <si>
    <t xml:space="preserve">ORD000120</t>
  </si>
  <si>
    <t xml:space="preserve">官方旗舰店</t>
  </si>
  <si>
    <t xml:space="preserve">美妆个护</t>
  </si>
  <si>
    <t xml:space="preserve">面膜</t>
  </si>
  <si>
    <t xml:space="preserve">ORD000121</t>
  </si>
  <si>
    <t xml:space="preserve">品牌专卖店</t>
  </si>
  <si>
    <t xml:space="preserve">家居生活</t>
  </si>
  <si>
    <t xml:space="preserve">保温杯</t>
  </si>
  <si>
    <t xml:space="preserve">ORD000122</t>
  </si>
  <si>
    <t xml:space="preserve">官方旗舰店</t>
  </si>
  <si>
    <t xml:space="preserve">食品生鲜</t>
  </si>
  <si>
    <t xml:space="preserve">水果礼盒</t>
  </si>
  <si>
    <t xml:space="preserve">ORD000123</t>
  </si>
  <si>
    <t xml:space="preserve">折扣专营店</t>
  </si>
  <si>
    <t xml:space="preserve">美妆个护</t>
  </si>
  <si>
    <t xml:space="preserve">面膜</t>
  </si>
  <si>
    <t xml:space="preserve">ORD000124</t>
  </si>
  <si>
    <t xml:space="preserve">官方旗舰店</t>
  </si>
  <si>
    <t xml:space="preserve">食品生鲜</t>
  </si>
  <si>
    <t xml:space="preserve">牛奶</t>
  </si>
  <si>
    <t xml:space="preserve">ORD000125</t>
  </si>
  <si>
    <t xml:space="preserve">跨境电商店</t>
  </si>
  <si>
    <t xml:space="preserve">家居生活</t>
  </si>
  <si>
    <t xml:space="preserve">床上四件套</t>
  </si>
  <si>
    <t xml:space="preserve">ORD000126</t>
  </si>
  <si>
    <t xml:space="preserve">跨境电商店</t>
  </si>
  <si>
    <t xml:space="preserve">食品生鲜</t>
  </si>
  <si>
    <t xml:space="preserve">肉类生鲜</t>
  </si>
  <si>
    <t xml:space="preserve">ORD000127</t>
  </si>
  <si>
    <t xml:space="preserve">品牌专卖店</t>
  </si>
  <si>
    <t xml:space="preserve">食品生鲜</t>
  </si>
  <si>
    <t xml:space="preserve">水果礼盒</t>
  </si>
  <si>
    <t xml:space="preserve">ORD000128</t>
  </si>
  <si>
    <t xml:space="preserve">跨境电商店</t>
  </si>
  <si>
    <t xml:space="preserve">服饰鞋包</t>
  </si>
  <si>
    <t xml:space="preserve">单肩包</t>
  </si>
  <si>
    <t xml:space="preserve">ORD000129</t>
  </si>
  <si>
    <t xml:space="preserve">跨境电商店</t>
  </si>
  <si>
    <t xml:space="preserve">家居生活</t>
  </si>
  <si>
    <t xml:space="preserve">保温杯</t>
  </si>
  <si>
    <t xml:space="preserve">ORD000130</t>
  </si>
  <si>
    <t xml:space="preserve">官方旗舰店</t>
  </si>
  <si>
    <t xml:space="preserve">服饰鞋包</t>
  </si>
  <si>
    <t xml:space="preserve">运动鞋</t>
  </si>
  <si>
    <t xml:space="preserve">ORD000131</t>
  </si>
  <si>
    <t xml:space="preserve">官方旗舰店</t>
  </si>
  <si>
    <t xml:space="preserve">服饰鞋包</t>
  </si>
  <si>
    <t xml:space="preserve">休闲卫衣</t>
  </si>
  <si>
    <t xml:space="preserve">ORD000132</t>
  </si>
  <si>
    <t xml:space="preserve">跨境电商店</t>
  </si>
  <si>
    <t xml:space="preserve">家居生活</t>
  </si>
  <si>
    <t xml:space="preserve">保温杯</t>
  </si>
  <si>
    <t xml:space="preserve">ORD000133</t>
  </si>
  <si>
    <t xml:space="preserve">折扣专营店</t>
  </si>
  <si>
    <t xml:space="preserve">美妆个护</t>
  </si>
  <si>
    <t xml:space="preserve">粉底液</t>
  </si>
  <si>
    <t xml:space="preserve">ORD000134</t>
  </si>
  <si>
    <t xml:space="preserve">官方旗舰店</t>
  </si>
  <si>
    <t xml:space="preserve">美妆个护</t>
  </si>
  <si>
    <t xml:space="preserve">沐浴露</t>
  </si>
  <si>
    <t xml:space="preserve">ORD000135</t>
  </si>
  <si>
    <t xml:space="preserve">折扣专营店</t>
  </si>
  <si>
    <t xml:space="preserve">家居生活</t>
  </si>
  <si>
    <t xml:space="preserve">空气净化器</t>
  </si>
  <si>
    <t xml:space="preserve">ORD000136</t>
  </si>
  <si>
    <t xml:space="preserve">跨境电商店</t>
  </si>
  <si>
    <t xml:space="preserve">食品生鲜</t>
  </si>
  <si>
    <t xml:space="preserve">零食大礼包</t>
  </si>
  <si>
    <t xml:space="preserve">ORD000137</t>
  </si>
  <si>
    <t xml:space="preserve">折扣专营店</t>
  </si>
  <si>
    <t xml:space="preserve">美妆个护</t>
  </si>
  <si>
    <t xml:space="preserve">洗发水</t>
  </si>
  <si>
    <t xml:space="preserve">ORD000138</t>
  </si>
  <si>
    <t xml:space="preserve">官方旗舰店</t>
  </si>
  <si>
    <t xml:space="preserve">3C数码</t>
  </si>
  <si>
    <t xml:space="preserve">笔记本电脑</t>
  </si>
  <si>
    <t xml:space="preserve">ORD000139</t>
  </si>
  <si>
    <t xml:space="preserve">品牌专卖店</t>
  </si>
  <si>
    <t xml:space="preserve">3C数码</t>
  </si>
  <si>
    <t xml:space="preserve">无线耳机</t>
  </si>
  <si>
    <t xml:space="preserve">ORD000140</t>
  </si>
  <si>
    <t xml:space="preserve">折扣专营店</t>
  </si>
  <si>
    <t xml:space="preserve">服饰鞋包</t>
  </si>
  <si>
    <t xml:space="preserve">连衣裙</t>
  </si>
  <si>
    <t xml:space="preserve">ORD000141</t>
  </si>
  <si>
    <t xml:space="preserve">折扣专营店</t>
  </si>
  <si>
    <t xml:space="preserve">3C数码</t>
  </si>
  <si>
    <t xml:space="preserve">笔记本电脑</t>
  </si>
  <si>
    <t xml:space="preserve">ORD000142</t>
  </si>
  <si>
    <t xml:space="preserve">品牌专卖店</t>
  </si>
  <si>
    <t xml:space="preserve">美妆个护</t>
  </si>
  <si>
    <t xml:space="preserve">粉底液</t>
  </si>
  <si>
    <t xml:space="preserve">ORD000143</t>
  </si>
  <si>
    <t xml:space="preserve">跨境电商店</t>
  </si>
  <si>
    <t xml:space="preserve">3C数码</t>
  </si>
  <si>
    <t xml:space="preserve">平板电脑</t>
  </si>
  <si>
    <t xml:space="preserve">ORD000144</t>
  </si>
  <si>
    <t xml:space="preserve">折扣专营店</t>
  </si>
  <si>
    <t xml:space="preserve">美妆个护</t>
  </si>
  <si>
    <t xml:space="preserve">粉底液</t>
  </si>
  <si>
    <t xml:space="preserve">ORD000145</t>
  </si>
  <si>
    <t xml:space="preserve">品牌专卖店</t>
  </si>
  <si>
    <t xml:space="preserve">食品生鲜</t>
  </si>
  <si>
    <t xml:space="preserve">牛奶</t>
  </si>
  <si>
    <t xml:space="preserve">ORD000146</t>
  </si>
  <si>
    <t xml:space="preserve">折扣专营店</t>
  </si>
  <si>
    <t xml:space="preserve">食品生鲜</t>
  </si>
  <si>
    <t xml:space="preserve">牛奶</t>
  </si>
  <si>
    <t xml:space="preserve">ORD000147</t>
  </si>
  <si>
    <t xml:space="preserve">品牌专卖店</t>
  </si>
  <si>
    <t xml:space="preserve">服饰鞋包</t>
  </si>
  <si>
    <t xml:space="preserve">连衣裙</t>
  </si>
  <si>
    <t xml:space="preserve">ORD000148</t>
  </si>
  <si>
    <t xml:space="preserve">折扣专营店</t>
  </si>
  <si>
    <t xml:space="preserve">美妆个护</t>
  </si>
  <si>
    <t xml:space="preserve">沐浴露</t>
  </si>
  <si>
    <t xml:space="preserve">ORD000149</t>
  </si>
  <si>
    <t xml:space="preserve">跨境电商店</t>
  </si>
  <si>
    <t xml:space="preserve">家居生活</t>
  </si>
  <si>
    <t xml:space="preserve">空气净化器</t>
  </si>
  <si>
    <t xml:space="preserve">ORD000150</t>
  </si>
  <si>
    <t xml:space="preserve">官方旗舰店</t>
  </si>
  <si>
    <t xml:space="preserve">食品生鲜</t>
  </si>
  <si>
    <t xml:space="preserve">零食大礼包</t>
  </si>
  <si>
    <t xml:space="preserve">ORD000151</t>
  </si>
  <si>
    <t xml:space="preserve">官方旗舰店</t>
  </si>
  <si>
    <t xml:space="preserve">3C数码</t>
  </si>
  <si>
    <t xml:space="preserve">智能手机</t>
  </si>
  <si>
    <t xml:space="preserve">ORD000152</t>
  </si>
  <si>
    <t xml:space="preserve">品牌专卖店</t>
  </si>
  <si>
    <t xml:space="preserve">美妆个护</t>
  </si>
  <si>
    <t xml:space="preserve">口红</t>
  </si>
  <si>
    <t xml:space="preserve">ORD000153</t>
  </si>
  <si>
    <t xml:space="preserve">折扣专营店</t>
  </si>
  <si>
    <t xml:space="preserve">家居生活</t>
  </si>
  <si>
    <t xml:space="preserve">扫地机器人</t>
  </si>
  <si>
    <t xml:space="preserve">ORD000154</t>
  </si>
  <si>
    <t xml:space="preserve">折扣专营店</t>
  </si>
  <si>
    <t xml:space="preserve">3C数码</t>
  </si>
  <si>
    <t xml:space="preserve">无线耳机</t>
  </si>
  <si>
    <t xml:space="preserve">ORD000155</t>
  </si>
  <si>
    <t xml:space="preserve">官方旗舰店</t>
  </si>
  <si>
    <t xml:space="preserve">服饰鞋包</t>
  </si>
  <si>
    <t xml:space="preserve">运动鞋</t>
  </si>
  <si>
    <t xml:space="preserve">ORD000156</t>
  </si>
  <si>
    <t xml:space="preserve">官方旗舰店</t>
  </si>
  <si>
    <t xml:space="preserve">服饰鞋包</t>
  </si>
  <si>
    <t xml:space="preserve">运动鞋</t>
  </si>
  <si>
    <t xml:space="preserve">ORD000157</t>
  </si>
  <si>
    <t xml:space="preserve">跨境电商店</t>
  </si>
  <si>
    <t xml:space="preserve">3C数码</t>
  </si>
  <si>
    <t xml:space="preserve">智能手机</t>
  </si>
  <si>
    <t xml:space="preserve">ORD000158</t>
  </si>
  <si>
    <t xml:space="preserve">折扣专营店</t>
  </si>
  <si>
    <t xml:space="preserve">家居生活</t>
  </si>
  <si>
    <t xml:space="preserve">收纳箱</t>
  </si>
  <si>
    <t xml:space="preserve">ORD000159</t>
  </si>
  <si>
    <t xml:space="preserve">官方旗舰店</t>
  </si>
  <si>
    <t xml:space="preserve">食品生鲜</t>
  </si>
  <si>
    <t xml:space="preserve">水果礼盒</t>
  </si>
  <si>
    <t xml:space="preserve">ORD000160</t>
  </si>
  <si>
    <t xml:space="preserve">跨境电商店</t>
  </si>
  <si>
    <t xml:space="preserve">家居生活</t>
  </si>
  <si>
    <t xml:space="preserve">扫地机器人</t>
  </si>
  <si>
    <t xml:space="preserve">ORD000161</t>
  </si>
  <si>
    <t xml:space="preserve">官方旗舰店</t>
  </si>
  <si>
    <t xml:space="preserve">食品生鲜</t>
  </si>
  <si>
    <t xml:space="preserve">零食大礼包</t>
  </si>
  <si>
    <t xml:space="preserve">ORD000162</t>
  </si>
  <si>
    <t xml:space="preserve">折扣专营店</t>
  </si>
  <si>
    <t xml:space="preserve">家居生活</t>
  </si>
  <si>
    <t xml:space="preserve">保温杯</t>
  </si>
  <si>
    <t xml:space="preserve">ORD000163</t>
  </si>
  <si>
    <t xml:space="preserve">跨境电商店</t>
  </si>
  <si>
    <t xml:space="preserve">家居生活</t>
  </si>
  <si>
    <t xml:space="preserve">床上四件套</t>
  </si>
  <si>
    <t xml:space="preserve">ORD000164</t>
  </si>
  <si>
    <t xml:space="preserve">折扣专营店</t>
  </si>
  <si>
    <t xml:space="preserve">美妆个护</t>
  </si>
  <si>
    <t xml:space="preserve">粉底液</t>
  </si>
  <si>
    <t xml:space="preserve">ORD000165</t>
  </si>
  <si>
    <t xml:space="preserve">品牌专卖店</t>
  </si>
  <si>
    <t xml:space="preserve">服饰鞋包</t>
  </si>
  <si>
    <t xml:space="preserve">休闲卫衣</t>
  </si>
  <si>
    <t xml:space="preserve">ORD000166</t>
  </si>
  <si>
    <t xml:space="preserve">折扣专营店</t>
  </si>
  <si>
    <t xml:space="preserve">服饰鞋包</t>
  </si>
  <si>
    <t xml:space="preserve">运动鞋</t>
  </si>
  <si>
    <t xml:space="preserve">ORD000167</t>
  </si>
  <si>
    <t xml:space="preserve">跨境电商店</t>
  </si>
  <si>
    <t xml:space="preserve">家居生活</t>
  </si>
  <si>
    <t xml:space="preserve">收纳箱</t>
  </si>
  <si>
    <t xml:space="preserve">ORD000168</t>
  </si>
  <si>
    <t xml:space="preserve">官方旗舰店</t>
  </si>
  <si>
    <t xml:space="preserve">食品生鲜</t>
  </si>
  <si>
    <t xml:space="preserve">零食大礼包</t>
  </si>
  <si>
    <t xml:space="preserve">ORD000169</t>
  </si>
  <si>
    <t xml:space="preserve">官方旗舰店</t>
  </si>
  <si>
    <t xml:space="preserve">家居生活</t>
  </si>
  <si>
    <t xml:space="preserve">床上四件套</t>
  </si>
  <si>
    <t xml:space="preserve">ORD000170</t>
  </si>
  <si>
    <t xml:space="preserve">折扣专营店</t>
  </si>
  <si>
    <t xml:space="preserve">3C数码</t>
  </si>
  <si>
    <t xml:space="preserve">智能手机</t>
  </si>
  <si>
    <t xml:space="preserve">ORD000171</t>
  </si>
  <si>
    <t xml:space="preserve">品牌专卖店</t>
  </si>
  <si>
    <t xml:space="preserve">食品生鲜</t>
  </si>
  <si>
    <t xml:space="preserve">肉类生鲜</t>
  </si>
  <si>
    <t xml:space="preserve">ORD000172</t>
  </si>
  <si>
    <t xml:space="preserve">品牌专卖店</t>
  </si>
  <si>
    <t xml:space="preserve">美妆个护</t>
  </si>
  <si>
    <t xml:space="preserve">洗发水</t>
  </si>
  <si>
    <t xml:space="preserve">ORD000173</t>
  </si>
  <si>
    <t xml:space="preserve">折扣专营店</t>
  </si>
  <si>
    <t xml:space="preserve">3C数码</t>
  </si>
  <si>
    <t xml:space="preserve">智能手表</t>
  </si>
  <si>
    <t xml:space="preserve">ORD000174</t>
  </si>
  <si>
    <t xml:space="preserve">折扣专营店</t>
  </si>
  <si>
    <t xml:space="preserve">服饰鞋包</t>
  </si>
  <si>
    <t xml:space="preserve">连衣裙</t>
  </si>
  <si>
    <t xml:space="preserve">ORD000175</t>
  </si>
  <si>
    <t xml:space="preserve">品牌专卖店</t>
  </si>
  <si>
    <t xml:space="preserve">3C数码</t>
  </si>
  <si>
    <t xml:space="preserve">智能手机</t>
  </si>
  <si>
    <t xml:space="preserve">ORD000176</t>
  </si>
  <si>
    <t xml:space="preserve">跨境电商店</t>
  </si>
  <si>
    <t xml:space="preserve">3C数码</t>
  </si>
  <si>
    <t xml:space="preserve">智能手表</t>
  </si>
  <si>
    <t xml:space="preserve">ORD000177</t>
  </si>
  <si>
    <t xml:space="preserve">官方旗舰店</t>
  </si>
  <si>
    <t xml:space="preserve">3C数码</t>
  </si>
  <si>
    <t xml:space="preserve">智能手表</t>
  </si>
  <si>
    <t xml:space="preserve">ORD000178</t>
  </si>
  <si>
    <t xml:space="preserve">跨境电商店</t>
  </si>
  <si>
    <t xml:space="preserve">3C数码</t>
  </si>
  <si>
    <t xml:space="preserve">无线耳机</t>
  </si>
  <si>
    <t xml:space="preserve">ORD000179</t>
  </si>
  <si>
    <t xml:space="preserve">官方旗舰店</t>
  </si>
  <si>
    <t xml:space="preserve">3C数码</t>
  </si>
  <si>
    <t xml:space="preserve">智能手机</t>
  </si>
  <si>
    <t xml:space="preserve">ORD000180</t>
  </si>
  <si>
    <t xml:space="preserve">跨境电商店</t>
  </si>
  <si>
    <t xml:space="preserve">3C数码</t>
  </si>
  <si>
    <t xml:space="preserve">无线耳机</t>
  </si>
  <si>
    <t xml:space="preserve">ORD000181</t>
  </si>
  <si>
    <t xml:space="preserve">折扣专营店</t>
  </si>
  <si>
    <t xml:space="preserve">3C数码</t>
  </si>
  <si>
    <t xml:space="preserve">智能手机</t>
  </si>
  <si>
    <t xml:space="preserve">ORD000182</t>
  </si>
  <si>
    <t xml:space="preserve">跨境电商店</t>
  </si>
  <si>
    <t xml:space="preserve">3C数码</t>
  </si>
  <si>
    <t xml:space="preserve">智能手表</t>
  </si>
  <si>
    <t xml:space="preserve">ORD000183</t>
  </si>
  <si>
    <t xml:space="preserve">品牌专卖店</t>
  </si>
  <si>
    <t xml:space="preserve">3C数码</t>
  </si>
  <si>
    <t xml:space="preserve">笔记本电脑</t>
  </si>
  <si>
    <t xml:space="preserve">ORD000184</t>
  </si>
  <si>
    <t xml:space="preserve">跨境电商店</t>
  </si>
  <si>
    <t xml:space="preserve">美妆个护</t>
  </si>
  <si>
    <t xml:space="preserve">粉底液</t>
  </si>
  <si>
    <t xml:space="preserve">ORD000185</t>
  </si>
  <si>
    <t xml:space="preserve">品牌专卖店</t>
  </si>
  <si>
    <t xml:space="preserve">美妆个护</t>
  </si>
  <si>
    <t xml:space="preserve">面膜</t>
  </si>
  <si>
    <t xml:space="preserve">ORD000186</t>
  </si>
  <si>
    <t xml:space="preserve">品牌专卖店</t>
  </si>
  <si>
    <t xml:space="preserve">美妆个护</t>
  </si>
  <si>
    <t xml:space="preserve">口红</t>
  </si>
  <si>
    <t xml:space="preserve">ORD000187</t>
  </si>
  <si>
    <t xml:space="preserve">品牌专卖店</t>
  </si>
  <si>
    <t xml:space="preserve">3C数码</t>
  </si>
  <si>
    <t xml:space="preserve">智能手机</t>
  </si>
  <si>
    <t xml:space="preserve">ORD000188</t>
  </si>
  <si>
    <t xml:space="preserve">跨境电商店</t>
  </si>
  <si>
    <t xml:space="preserve">食品生鲜</t>
  </si>
  <si>
    <t xml:space="preserve">坚果礼盒</t>
  </si>
  <si>
    <t xml:space="preserve">ORD000189</t>
  </si>
  <si>
    <t xml:space="preserve">跨境电商店</t>
  </si>
  <si>
    <t xml:space="preserve">服饰鞋包</t>
  </si>
  <si>
    <t xml:space="preserve">单肩包</t>
  </si>
  <si>
    <t xml:space="preserve">ORD000190</t>
  </si>
  <si>
    <t xml:space="preserve">品牌专卖店</t>
  </si>
  <si>
    <t xml:space="preserve">美妆个护</t>
  </si>
  <si>
    <t xml:space="preserve">面膜</t>
  </si>
  <si>
    <t xml:space="preserve">ORD000191</t>
  </si>
  <si>
    <t xml:space="preserve">官方旗舰店</t>
  </si>
  <si>
    <t xml:space="preserve">服饰鞋包</t>
  </si>
  <si>
    <t xml:space="preserve">连衣裙</t>
  </si>
  <si>
    <t xml:space="preserve">ORD000192</t>
  </si>
  <si>
    <t xml:space="preserve">品牌专卖店</t>
  </si>
  <si>
    <t xml:space="preserve">食品生鲜</t>
  </si>
  <si>
    <t xml:space="preserve">坚果礼盒</t>
  </si>
  <si>
    <t xml:space="preserve">ORD000193</t>
  </si>
  <si>
    <t xml:space="preserve">官方旗舰店</t>
  </si>
  <si>
    <t xml:space="preserve">食品生鲜</t>
  </si>
  <si>
    <t xml:space="preserve">牛奶</t>
  </si>
  <si>
    <t xml:space="preserve">ORD000194</t>
  </si>
  <si>
    <t xml:space="preserve">品牌专卖店</t>
  </si>
  <si>
    <t xml:space="preserve">家居生活</t>
  </si>
  <si>
    <t xml:space="preserve">收纳箱</t>
  </si>
  <si>
    <t xml:space="preserve">ORD000195</t>
  </si>
  <si>
    <t xml:space="preserve">跨境电商店</t>
  </si>
  <si>
    <t xml:space="preserve">3C数码</t>
  </si>
  <si>
    <t xml:space="preserve">平板电脑</t>
  </si>
  <si>
    <t xml:space="preserve">ORD000196</t>
  </si>
  <si>
    <t xml:space="preserve">官方旗舰店</t>
  </si>
  <si>
    <t xml:space="preserve">家居生活</t>
  </si>
  <si>
    <t xml:space="preserve">空气净化器</t>
  </si>
  <si>
    <t xml:space="preserve">ORD000197</t>
  </si>
  <si>
    <t xml:space="preserve">品牌专卖店</t>
  </si>
  <si>
    <t xml:space="preserve">美妆个护</t>
  </si>
  <si>
    <t xml:space="preserve">面膜</t>
  </si>
  <si>
    <t xml:space="preserve">ORD000198</t>
  </si>
  <si>
    <t xml:space="preserve">品牌专卖店</t>
  </si>
  <si>
    <t xml:space="preserve">家居生活</t>
  </si>
  <si>
    <t xml:space="preserve">保温杯</t>
  </si>
  <si>
    <t xml:space="preserve">ORD000199</t>
  </si>
  <si>
    <t xml:space="preserve">跨境电商店</t>
  </si>
  <si>
    <t xml:space="preserve">家居生活</t>
  </si>
  <si>
    <t xml:space="preserve">收纳箱</t>
  </si>
  <si>
    <t xml:space="preserve">ORD000200</t>
  </si>
  <si>
    <t xml:space="preserve">跨境电商店</t>
  </si>
  <si>
    <t xml:space="preserve">服饰鞋包</t>
  </si>
  <si>
    <t xml:space="preserve">运动鞋</t>
  </si>
  <si>
    <t xml:space="preserve">合计</t>
  </si>
  <si>
    <t xml:space="preserve">2024年月度销售汇总表</t>
  </si>
  <si>
    <t xml:space="preserve">月份</t>
  </si>
  <si>
    <t xml:space="preserve">店铺名称</t>
  </si>
  <si>
    <t xml:space="preserve">商品分类</t>
  </si>
  <si>
    <t xml:space="preserve">总销售数量</t>
  </si>
  <si>
    <t xml:space="preserve">总销售金额(元)</t>
  </si>
  <si>
    <t xml:space="preserve">总利润(元)</t>
  </si>
  <si>
    <t xml:space="preserve">1月</t>
  </si>
  <si>
    <t xml:space="preserve">官方旗舰店</t>
  </si>
  <si>
    <t xml:space="preserve">3C数码</t>
  </si>
  <si>
    <t xml:space="preserve">1月</t>
  </si>
  <si>
    <t xml:space="preserve">官方旗舰店</t>
  </si>
  <si>
    <t xml:space="preserve">家居生活</t>
  </si>
  <si>
    <t xml:space="preserve">1月</t>
  </si>
  <si>
    <t xml:space="preserve">官方旗舰店</t>
  </si>
  <si>
    <t xml:space="preserve">服饰鞋包</t>
  </si>
  <si>
    <t xml:space="preserve">1月</t>
  </si>
  <si>
    <t xml:space="preserve">官方旗舰店</t>
  </si>
  <si>
    <t xml:space="preserve">美妆个护</t>
  </si>
  <si>
    <t xml:space="preserve">1月</t>
  </si>
  <si>
    <t xml:space="preserve">官方旗舰店</t>
  </si>
  <si>
    <t xml:space="preserve">食品生鲜</t>
  </si>
  <si>
    <t xml:space="preserve">1月</t>
  </si>
  <si>
    <t xml:space="preserve">品牌专卖店</t>
  </si>
  <si>
    <t xml:space="preserve">3C数码</t>
  </si>
  <si>
    <t xml:space="preserve">1月</t>
  </si>
  <si>
    <t xml:space="preserve">品牌专卖店</t>
  </si>
  <si>
    <t xml:space="preserve">家居生活</t>
  </si>
  <si>
    <t xml:space="preserve">1月</t>
  </si>
  <si>
    <t xml:space="preserve">品牌专卖店</t>
  </si>
  <si>
    <t xml:space="preserve">服饰鞋包</t>
  </si>
  <si>
    <t xml:space="preserve">1月</t>
  </si>
  <si>
    <t xml:space="preserve">品牌专卖店</t>
  </si>
  <si>
    <t xml:space="preserve">美妆个护</t>
  </si>
  <si>
    <t xml:space="preserve">1月</t>
  </si>
  <si>
    <t xml:space="preserve">品牌专卖店</t>
  </si>
  <si>
    <t xml:space="preserve">食品生鲜</t>
  </si>
  <si>
    <t xml:space="preserve">1月</t>
  </si>
  <si>
    <t xml:space="preserve">折扣专营店</t>
  </si>
  <si>
    <t xml:space="preserve">3C数码</t>
  </si>
  <si>
    <t xml:space="preserve">1月</t>
  </si>
  <si>
    <t xml:space="preserve">折扣专营店</t>
  </si>
  <si>
    <t xml:space="preserve">家居生活</t>
  </si>
  <si>
    <t xml:space="preserve">1月</t>
  </si>
  <si>
    <t xml:space="preserve">折扣专营店</t>
  </si>
  <si>
    <t xml:space="preserve">服饰鞋包</t>
  </si>
  <si>
    <t xml:space="preserve">1月</t>
  </si>
  <si>
    <t xml:space="preserve">折扣专营店</t>
  </si>
  <si>
    <t xml:space="preserve">美妆个护</t>
  </si>
  <si>
    <t xml:space="preserve">1月</t>
  </si>
  <si>
    <t xml:space="preserve">折扣专营店</t>
  </si>
  <si>
    <t xml:space="preserve">食品生鲜</t>
  </si>
  <si>
    <t xml:space="preserve">1月</t>
  </si>
  <si>
    <t xml:space="preserve">跨境电商店</t>
  </si>
  <si>
    <t xml:space="preserve">3C数码</t>
  </si>
  <si>
    <t xml:space="preserve">1月</t>
  </si>
  <si>
    <t xml:space="preserve">跨境电商店</t>
  </si>
  <si>
    <t xml:space="preserve">家居生活</t>
  </si>
  <si>
    <t xml:space="preserve">1月</t>
  </si>
  <si>
    <t xml:space="preserve">跨境电商店</t>
  </si>
  <si>
    <t xml:space="preserve">服饰鞋包</t>
  </si>
  <si>
    <t xml:space="preserve">1月</t>
  </si>
  <si>
    <t xml:space="preserve">跨境电商店</t>
  </si>
  <si>
    <t xml:space="preserve">美妆个护</t>
  </si>
  <si>
    <t xml:space="preserve">1月</t>
  </si>
  <si>
    <t xml:space="preserve">跨境电商店</t>
  </si>
  <si>
    <t xml:space="preserve">食品生鲜</t>
  </si>
  <si>
    <t xml:space="preserve">2月</t>
  </si>
  <si>
    <t xml:space="preserve">官方旗舰店</t>
  </si>
  <si>
    <t xml:space="preserve">3C数码</t>
  </si>
  <si>
    <t xml:space="preserve">2月</t>
  </si>
  <si>
    <t xml:space="preserve">官方旗舰店</t>
  </si>
  <si>
    <t xml:space="preserve">家居生活</t>
  </si>
  <si>
    <t xml:space="preserve">2月</t>
  </si>
  <si>
    <t xml:space="preserve">官方旗舰店</t>
  </si>
  <si>
    <t xml:space="preserve">服饰鞋包</t>
  </si>
  <si>
    <t xml:space="preserve">2月</t>
  </si>
  <si>
    <t xml:space="preserve">官方旗舰店</t>
  </si>
  <si>
    <t xml:space="preserve">美妆个护</t>
  </si>
  <si>
    <t xml:space="preserve">2月</t>
  </si>
  <si>
    <t xml:space="preserve">官方旗舰店</t>
  </si>
  <si>
    <t xml:space="preserve">食品生鲜</t>
  </si>
  <si>
    <t xml:space="preserve">2月</t>
  </si>
  <si>
    <t xml:space="preserve">品牌专卖店</t>
  </si>
  <si>
    <t xml:space="preserve">3C数码</t>
  </si>
  <si>
    <t xml:space="preserve">2月</t>
  </si>
  <si>
    <t xml:space="preserve">品牌专卖店</t>
  </si>
  <si>
    <t xml:space="preserve">家居生活</t>
  </si>
  <si>
    <t xml:space="preserve">2月</t>
  </si>
  <si>
    <t xml:space="preserve">品牌专卖店</t>
  </si>
  <si>
    <t xml:space="preserve">服饰鞋包</t>
  </si>
  <si>
    <t xml:space="preserve">2月</t>
  </si>
  <si>
    <t xml:space="preserve">品牌专卖店</t>
  </si>
  <si>
    <t xml:space="preserve">美妆个护</t>
  </si>
  <si>
    <t xml:space="preserve">2月</t>
  </si>
  <si>
    <t xml:space="preserve">品牌专卖店</t>
  </si>
  <si>
    <t xml:space="preserve">食品生鲜</t>
  </si>
  <si>
    <t xml:space="preserve">2月</t>
  </si>
  <si>
    <t xml:space="preserve">折扣专营店</t>
  </si>
  <si>
    <t xml:space="preserve">3C数码</t>
  </si>
  <si>
    <t xml:space="preserve">2月</t>
  </si>
  <si>
    <t xml:space="preserve">折扣专营店</t>
  </si>
  <si>
    <t xml:space="preserve">家居生活</t>
  </si>
  <si>
    <t xml:space="preserve">2月</t>
  </si>
  <si>
    <t xml:space="preserve">折扣专营店</t>
  </si>
  <si>
    <t xml:space="preserve">服饰鞋包</t>
  </si>
  <si>
    <t xml:space="preserve">2月</t>
  </si>
  <si>
    <t xml:space="preserve">折扣专营店</t>
  </si>
  <si>
    <t xml:space="preserve">美妆个护</t>
  </si>
  <si>
    <t xml:space="preserve">2月</t>
  </si>
  <si>
    <t xml:space="preserve">折扣专营店</t>
  </si>
  <si>
    <t xml:space="preserve">食品生鲜</t>
  </si>
  <si>
    <t xml:space="preserve">2月</t>
  </si>
  <si>
    <t xml:space="preserve">跨境电商店</t>
  </si>
  <si>
    <t xml:space="preserve">3C数码</t>
  </si>
  <si>
    <t xml:space="preserve">2月</t>
  </si>
  <si>
    <t xml:space="preserve">跨境电商店</t>
  </si>
  <si>
    <t xml:space="preserve">家居生活</t>
  </si>
  <si>
    <t xml:space="preserve">2月</t>
  </si>
  <si>
    <t xml:space="preserve">跨境电商店</t>
  </si>
  <si>
    <t xml:space="preserve">服饰鞋包</t>
  </si>
  <si>
    <t xml:space="preserve">2月</t>
  </si>
  <si>
    <t xml:space="preserve">跨境电商店</t>
  </si>
  <si>
    <t xml:space="preserve">美妆个护</t>
  </si>
  <si>
    <t xml:space="preserve">2月</t>
  </si>
  <si>
    <t xml:space="preserve">跨境电商店</t>
  </si>
  <si>
    <t xml:space="preserve">食品生鲜</t>
  </si>
  <si>
    <t xml:space="preserve">3月</t>
  </si>
  <si>
    <t xml:space="preserve">官方旗舰店</t>
  </si>
  <si>
    <t xml:space="preserve">3C数码</t>
  </si>
  <si>
    <t xml:space="preserve">3月</t>
  </si>
  <si>
    <t xml:space="preserve">官方旗舰店</t>
  </si>
  <si>
    <t xml:space="preserve">家居生活</t>
  </si>
  <si>
    <t xml:space="preserve">3月</t>
  </si>
  <si>
    <t xml:space="preserve">官方旗舰店</t>
  </si>
  <si>
    <t xml:space="preserve">服饰鞋包</t>
  </si>
  <si>
    <t xml:space="preserve">3月</t>
  </si>
  <si>
    <t xml:space="preserve">官方旗舰店</t>
  </si>
  <si>
    <t xml:space="preserve">美妆个护</t>
  </si>
  <si>
    <t xml:space="preserve">3月</t>
  </si>
  <si>
    <t xml:space="preserve">官方旗舰店</t>
  </si>
  <si>
    <t xml:space="preserve">食品生鲜</t>
  </si>
  <si>
    <t xml:space="preserve">3月</t>
  </si>
  <si>
    <t xml:space="preserve">品牌专卖店</t>
  </si>
  <si>
    <t xml:space="preserve">3C数码</t>
  </si>
  <si>
    <t xml:space="preserve">3月</t>
  </si>
  <si>
    <t xml:space="preserve">品牌专卖店</t>
  </si>
  <si>
    <t xml:space="preserve">家居生活</t>
  </si>
  <si>
    <t xml:space="preserve">3月</t>
  </si>
  <si>
    <t xml:space="preserve">品牌专卖店</t>
  </si>
  <si>
    <t xml:space="preserve">服饰鞋包</t>
  </si>
  <si>
    <t xml:space="preserve">3月</t>
  </si>
  <si>
    <t xml:space="preserve">品牌专卖店</t>
  </si>
  <si>
    <t xml:space="preserve">美妆个护</t>
  </si>
  <si>
    <t xml:space="preserve">3月</t>
  </si>
  <si>
    <t xml:space="preserve">品牌专卖店</t>
  </si>
  <si>
    <t xml:space="preserve">食品生鲜</t>
  </si>
  <si>
    <t xml:space="preserve">3月</t>
  </si>
  <si>
    <t xml:space="preserve">折扣专营店</t>
  </si>
  <si>
    <t xml:space="preserve">3C数码</t>
  </si>
  <si>
    <t xml:space="preserve">3月</t>
  </si>
  <si>
    <t xml:space="preserve">折扣专营店</t>
  </si>
  <si>
    <t xml:space="preserve">家居生活</t>
  </si>
  <si>
    <t xml:space="preserve">3月</t>
  </si>
  <si>
    <t xml:space="preserve">折扣专营店</t>
  </si>
  <si>
    <t xml:space="preserve">服饰鞋包</t>
  </si>
  <si>
    <t xml:space="preserve">3月</t>
  </si>
  <si>
    <t xml:space="preserve">折扣专营店</t>
  </si>
  <si>
    <t xml:space="preserve">美妆个护</t>
  </si>
  <si>
    <t xml:space="preserve">3月</t>
  </si>
  <si>
    <t xml:space="preserve">折扣专营店</t>
  </si>
  <si>
    <t xml:space="preserve">食品生鲜</t>
  </si>
  <si>
    <t xml:space="preserve">3月</t>
  </si>
  <si>
    <t xml:space="preserve">跨境电商店</t>
  </si>
  <si>
    <t xml:space="preserve">3C数码</t>
  </si>
  <si>
    <t xml:space="preserve">3月</t>
  </si>
  <si>
    <t xml:space="preserve">跨境电商店</t>
  </si>
  <si>
    <t xml:space="preserve">家居生活</t>
  </si>
  <si>
    <t xml:space="preserve">3月</t>
  </si>
  <si>
    <t xml:space="preserve">跨境电商店</t>
  </si>
  <si>
    <t xml:space="preserve">服饰鞋包</t>
  </si>
  <si>
    <t xml:space="preserve">3月</t>
  </si>
  <si>
    <t xml:space="preserve">跨境电商店</t>
  </si>
  <si>
    <t xml:space="preserve">美妆个护</t>
  </si>
  <si>
    <t xml:space="preserve">3月</t>
  </si>
  <si>
    <t xml:space="preserve">跨境电商店</t>
  </si>
  <si>
    <t xml:space="preserve">食品生鲜</t>
  </si>
  <si>
    <t xml:space="preserve">4月</t>
  </si>
  <si>
    <t xml:space="preserve">官方旗舰店</t>
  </si>
  <si>
    <t xml:space="preserve">3C数码</t>
  </si>
  <si>
    <t xml:space="preserve">4月</t>
  </si>
  <si>
    <t xml:space="preserve">官方旗舰店</t>
  </si>
  <si>
    <t xml:space="preserve">家居生活</t>
  </si>
  <si>
    <t xml:space="preserve">4月</t>
  </si>
  <si>
    <t xml:space="preserve">官方旗舰店</t>
  </si>
  <si>
    <t xml:space="preserve">服饰鞋包</t>
  </si>
  <si>
    <t xml:space="preserve">4月</t>
  </si>
  <si>
    <t xml:space="preserve">官方旗舰店</t>
  </si>
  <si>
    <t xml:space="preserve">美妆个护</t>
  </si>
  <si>
    <t xml:space="preserve">4月</t>
  </si>
  <si>
    <t xml:space="preserve">官方旗舰店</t>
  </si>
  <si>
    <t xml:space="preserve">食品生鲜</t>
  </si>
  <si>
    <t xml:space="preserve">4月</t>
  </si>
  <si>
    <t xml:space="preserve">品牌专卖店</t>
  </si>
  <si>
    <t xml:space="preserve">3C数码</t>
  </si>
  <si>
    <t xml:space="preserve">4月</t>
  </si>
  <si>
    <t xml:space="preserve">品牌专卖店</t>
  </si>
  <si>
    <t xml:space="preserve">家居生活</t>
  </si>
  <si>
    <t xml:space="preserve">4月</t>
  </si>
  <si>
    <t xml:space="preserve">品牌专卖店</t>
  </si>
  <si>
    <t xml:space="preserve">服饰鞋包</t>
  </si>
  <si>
    <t xml:space="preserve">4月</t>
  </si>
  <si>
    <t xml:space="preserve">品牌专卖店</t>
  </si>
  <si>
    <t xml:space="preserve">美妆个护</t>
  </si>
  <si>
    <t xml:space="preserve">4月</t>
  </si>
  <si>
    <t xml:space="preserve">品牌专卖店</t>
  </si>
  <si>
    <t xml:space="preserve">食品生鲜</t>
  </si>
  <si>
    <t xml:space="preserve">4月</t>
  </si>
  <si>
    <t xml:space="preserve">折扣专营店</t>
  </si>
  <si>
    <t xml:space="preserve">3C数码</t>
  </si>
  <si>
    <t xml:space="preserve">4月</t>
  </si>
  <si>
    <t xml:space="preserve">折扣专营店</t>
  </si>
  <si>
    <t xml:space="preserve">家居生活</t>
  </si>
  <si>
    <t xml:space="preserve">4月</t>
  </si>
  <si>
    <t xml:space="preserve">折扣专营店</t>
  </si>
  <si>
    <t xml:space="preserve">服饰鞋包</t>
  </si>
  <si>
    <t xml:space="preserve">4月</t>
  </si>
  <si>
    <t xml:space="preserve">折扣专营店</t>
  </si>
  <si>
    <t xml:space="preserve">美妆个护</t>
  </si>
  <si>
    <t xml:space="preserve">4月</t>
  </si>
  <si>
    <t xml:space="preserve">折扣专营店</t>
  </si>
  <si>
    <t xml:space="preserve">食品生鲜</t>
  </si>
  <si>
    <t xml:space="preserve">4月</t>
  </si>
  <si>
    <t xml:space="preserve">跨境电商店</t>
  </si>
  <si>
    <t xml:space="preserve">3C数码</t>
  </si>
  <si>
    <t xml:space="preserve">4月</t>
  </si>
  <si>
    <t xml:space="preserve">跨境电商店</t>
  </si>
  <si>
    <t xml:space="preserve">家居生活</t>
  </si>
  <si>
    <t xml:space="preserve">4月</t>
  </si>
  <si>
    <t xml:space="preserve">跨境电商店</t>
  </si>
  <si>
    <t xml:space="preserve">服饰鞋包</t>
  </si>
  <si>
    <t xml:space="preserve">4月</t>
  </si>
  <si>
    <t xml:space="preserve">跨境电商店</t>
  </si>
  <si>
    <t xml:space="preserve">美妆个护</t>
  </si>
  <si>
    <t xml:space="preserve">4月</t>
  </si>
  <si>
    <t xml:space="preserve">跨境电商店</t>
  </si>
  <si>
    <t xml:space="preserve">食品生鲜</t>
  </si>
  <si>
    <t xml:space="preserve">5月</t>
  </si>
  <si>
    <t xml:space="preserve">官方旗舰店</t>
  </si>
  <si>
    <t xml:space="preserve">3C数码</t>
  </si>
  <si>
    <t xml:space="preserve">5月</t>
  </si>
  <si>
    <t xml:space="preserve">官方旗舰店</t>
  </si>
  <si>
    <t xml:space="preserve">家居生活</t>
  </si>
  <si>
    <t xml:space="preserve">5月</t>
  </si>
  <si>
    <t xml:space="preserve">官方旗舰店</t>
  </si>
  <si>
    <t xml:space="preserve">服饰鞋包</t>
  </si>
  <si>
    <t xml:space="preserve">5月</t>
  </si>
  <si>
    <t xml:space="preserve">官方旗舰店</t>
  </si>
  <si>
    <t xml:space="preserve">美妆个护</t>
  </si>
  <si>
    <t xml:space="preserve">5月</t>
  </si>
  <si>
    <t xml:space="preserve">官方旗舰店</t>
  </si>
  <si>
    <t xml:space="preserve">食品生鲜</t>
  </si>
  <si>
    <t xml:space="preserve">5月</t>
  </si>
  <si>
    <t xml:space="preserve">品牌专卖店</t>
  </si>
  <si>
    <t xml:space="preserve">3C数码</t>
  </si>
  <si>
    <t xml:space="preserve">5月</t>
  </si>
  <si>
    <t xml:space="preserve">品牌专卖店</t>
  </si>
  <si>
    <t xml:space="preserve">家居生活</t>
  </si>
  <si>
    <t xml:space="preserve">5月</t>
  </si>
  <si>
    <t xml:space="preserve">品牌专卖店</t>
  </si>
  <si>
    <t xml:space="preserve">服饰鞋包</t>
  </si>
  <si>
    <t xml:space="preserve">5月</t>
  </si>
  <si>
    <t xml:space="preserve">品牌专卖店</t>
  </si>
  <si>
    <t xml:space="preserve">美妆个护</t>
  </si>
  <si>
    <t xml:space="preserve">5月</t>
  </si>
  <si>
    <t xml:space="preserve">品牌专卖店</t>
  </si>
  <si>
    <t xml:space="preserve">食品生鲜</t>
  </si>
  <si>
    <t xml:space="preserve">5月</t>
  </si>
  <si>
    <t xml:space="preserve">折扣专营店</t>
  </si>
  <si>
    <t xml:space="preserve">3C数码</t>
  </si>
  <si>
    <t xml:space="preserve">5月</t>
  </si>
  <si>
    <t xml:space="preserve">折扣专营店</t>
  </si>
  <si>
    <t xml:space="preserve">家居生活</t>
  </si>
  <si>
    <t xml:space="preserve">5月</t>
  </si>
  <si>
    <t xml:space="preserve">折扣专营店</t>
  </si>
  <si>
    <t xml:space="preserve">服饰鞋包</t>
  </si>
  <si>
    <t xml:space="preserve">5月</t>
  </si>
  <si>
    <t xml:space="preserve">折扣专营店</t>
  </si>
  <si>
    <t xml:space="preserve">美妆个护</t>
  </si>
  <si>
    <t xml:space="preserve">5月</t>
  </si>
  <si>
    <t xml:space="preserve">折扣专营店</t>
  </si>
  <si>
    <t xml:space="preserve">食品生鲜</t>
  </si>
  <si>
    <t xml:space="preserve">5月</t>
  </si>
  <si>
    <t xml:space="preserve">跨境电商店</t>
  </si>
  <si>
    <t xml:space="preserve">3C数码</t>
  </si>
  <si>
    <t xml:space="preserve">5月</t>
  </si>
  <si>
    <t xml:space="preserve">跨境电商店</t>
  </si>
  <si>
    <t xml:space="preserve">家居生活</t>
  </si>
  <si>
    <t xml:space="preserve">5月</t>
  </si>
  <si>
    <t xml:space="preserve">跨境电商店</t>
  </si>
  <si>
    <t xml:space="preserve">服饰鞋包</t>
  </si>
  <si>
    <t xml:space="preserve">5月</t>
  </si>
  <si>
    <t xml:space="preserve">跨境电商店</t>
  </si>
  <si>
    <t xml:space="preserve">美妆个护</t>
  </si>
  <si>
    <t xml:space="preserve">5月</t>
  </si>
  <si>
    <t xml:space="preserve">跨境电商店</t>
  </si>
  <si>
    <t xml:space="preserve">食品生鲜</t>
  </si>
  <si>
    <t xml:space="preserve">6月</t>
  </si>
  <si>
    <t xml:space="preserve">官方旗舰店</t>
  </si>
  <si>
    <t xml:space="preserve">3C数码</t>
  </si>
  <si>
    <t xml:space="preserve">6月</t>
  </si>
  <si>
    <t xml:space="preserve">官方旗舰店</t>
  </si>
  <si>
    <t xml:space="preserve">家居生活</t>
  </si>
  <si>
    <t xml:space="preserve">6月</t>
  </si>
  <si>
    <t xml:space="preserve">官方旗舰店</t>
  </si>
  <si>
    <t xml:space="preserve">服饰鞋包</t>
  </si>
  <si>
    <t xml:space="preserve">6月</t>
  </si>
  <si>
    <t xml:space="preserve">官方旗舰店</t>
  </si>
  <si>
    <t xml:space="preserve">美妆个护</t>
  </si>
  <si>
    <t xml:space="preserve">6月</t>
  </si>
  <si>
    <t xml:space="preserve">官方旗舰店</t>
  </si>
  <si>
    <t xml:space="preserve">食品生鲜</t>
  </si>
  <si>
    <t xml:space="preserve">6月</t>
  </si>
  <si>
    <t xml:space="preserve">品牌专卖店</t>
  </si>
  <si>
    <t xml:space="preserve">3C数码</t>
  </si>
  <si>
    <t xml:space="preserve">6月</t>
  </si>
  <si>
    <t xml:space="preserve">品牌专卖店</t>
  </si>
  <si>
    <t xml:space="preserve">家居生活</t>
  </si>
  <si>
    <t xml:space="preserve">6月</t>
  </si>
  <si>
    <t xml:space="preserve">品牌专卖店</t>
  </si>
  <si>
    <t xml:space="preserve">服饰鞋包</t>
  </si>
  <si>
    <t xml:space="preserve">6月</t>
  </si>
  <si>
    <t xml:space="preserve">品牌专卖店</t>
  </si>
  <si>
    <t xml:space="preserve">美妆个护</t>
  </si>
  <si>
    <t xml:space="preserve">6月</t>
  </si>
  <si>
    <t xml:space="preserve">品牌专卖店</t>
  </si>
  <si>
    <t xml:space="preserve">食品生鲜</t>
  </si>
  <si>
    <t xml:space="preserve">6月</t>
  </si>
  <si>
    <t xml:space="preserve">折扣专营店</t>
  </si>
  <si>
    <t xml:space="preserve">3C数码</t>
  </si>
  <si>
    <t xml:space="preserve">6月</t>
  </si>
  <si>
    <t xml:space="preserve">折扣专营店</t>
  </si>
  <si>
    <t xml:space="preserve">家居生活</t>
  </si>
  <si>
    <t xml:space="preserve">6月</t>
  </si>
  <si>
    <t xml:space="preserve">折扣专营店</t>
  </si>
  <si>
    <t xml:space="preserve">服饰鞋包</t>
  </si>
  <si>
    <t xml:space="preserve">6月</t>
  </si>
  <si>
    <t xml:space="preserve">折扣专营店</t>
  </si>
  <si>
    <t xml:space="preserve">美妆个护</t>
  </si>
  <si>
    <t xml:space="preserve">6月</t>
  </si>
  <si>
    <t xml:space="preserve">折扣专营店</t>
  </si>
  <si>
    <t xml:space="preserve">食品生鲜</t>
  </si>
  <si>
    <t xml:space="preserve">6月</t>
  </si>
  <si>
    <t xml:space="preserve">跨境电商店</t>
  </si>
  <si>
    <t xml:space="preserve">3C数码</t>
  </si>
  <si>
    <t xml:space="preserve">6月</t>
  </si>
  <si>
    <t xml:space="preserve">跨境电商店</t>
  </si>
  <si>
    <t xml:space="preserve">家居生活</t>
  </si>
  <si>
    <t xml:space="preserve">6月</t>
  </si>
  <si>
    <t xml:space="preserve">跨境电商店</t>
  </si>
  <si>
    <t xml:space="preserve">服饰鞋包</t>
  </si>
  <si>
    <t xml:space="preserve">6月</t>
  </si>
  <si>
    <t xml:space="preserve">跨境电商店</t>
  </si>
  <si>
    <t xml:space="preserve">美妆个护</t>
  </si>
  <si>
    <t xml:space="preserve">6月</t>
  </si>
  <si>
    <t xml:space="preserve">跨境电商店</t>
  </si>
  <si>
    <t xml:space="preserve">食品生鲜</t>
  </si>
  <si>
    <t xml:space="preserve">7月</t>
  </si>
  <si>
    <t xml:space="preserve">官方旗舰店</t>
  </si>
  <si>
    <t xml:space="preserve">3C数码</t>
  </si>
  <si>
    <t xml:space="preserve">7月</t>
  </si>
  <si>
    <t xml:space="preserve">官方旗舰店</t>
  </si>
  <si>
    <t xml:space="preserve">家居生活</t>
  </si>
  <si>
    <t xml:space="preserve">7月</t>
  </si>
  <si>
    <t xml:space="preserve">官方旗舰店</t>
  </si>
  <si>
    <t xml:space="preserve">服饰鞋包</t>
  </si>
  <si>
    <t xml:space="preserve">7月</t>
  </si>
  <si>
    <t xml:space="preserve">官方旗舰店</t>
  </si>
  <si>
    <t xml:space="preserve">美妆个护</t>
  </si>
  <si>
    <t xml:space="preserve">7月</t>
  </si>
  <si>
    <t xml:space="preserve">官方旗舰店</t>
  </si>
  <si>
    <t xml:space="preserve">食品生鲜</t>
  </si>
  <si>
    <t xml:space="preserve">7月</t>
  </si>
  <si>
    <t xml:space="preserve">品牌专卖店</t>
  </si>
  <si>
    <t xml:space="preserve">3C数码</t>
  </si>
  <si>
    <t xml:space="preserve">7月</t>
  </si>
  <si>
    <t xml:space="preserve">品牌专卖店</t>
  </si>
  <si>
    <t xml:space="preserve">家居生活</t>
  </si>
  <si>
    <t xml:space="preserve">7月</t>
  </si>
  <si>
    <t xml:space="preserve">品牌专卖店</t>
  </si>
  <si>
    <t xml:space="preserve">服饰鞋包</t>
  </si>
  <si>
    <t xml:space="preserve">7月</t>
  </si>
  <si>
    <t xml:space="preserve">品牌专卖店</t>
  </si>
  <si>
    <t xml:space="preserve">美妆个护</t>
  </si>
  <si>
    <t xml:space="preserve">7月</t>
  </si>
  <si>
    <t xml:space="preserve">品牌专卖店</t>
  </si>
  <si>
    <t xml:space="preserve">食品生鲜</t>
  </si>
  <si>
    <t xml:space="preserve">7月</t>
  </si>
  <si>
    <t xml:space="preserve">折扣专营店</t>
  </si>
  <si>
    <t xml:space="preserve">3C数码</t>
  </si>
  <si>
    <t xml:space="preserve">7月</t>
  </si>
  <si>
    <t xml:space="preserve">折扣专营店</t>
  </si>
  <si>
    <t xml:space="preserve">家居生活</t>
  </si>
  <si>
    <t xml:space="preserve">7月</t>
  </si>
  <si>
    <t xml:space="preserve">折扣专营店</t>
  </si>
  <si>
    <t xml:space="preserve">服饰鞋包</t>
  </si>
  <si>
    <t xml:space="preserve">7月</t>
  </si>
  <si>
    <t xml:space="preserve">折扣专营店</t>
  </si>
  <si>
    <t xml:space="preserve">美妆个护</t>
  </si>
  <si>
    <t xml:space="preserve">7月</t>
  </si>
  <si>
    <t xml:space="preserve">折扣专营店</t>
  </si>
  <si>
    <t xml:space="preserve">食品生鲜</t>
  </si>
  <si>
    <t xml:space="preserve">7月</t>
  </si>
  <si>
    <t xml:space="preserve">跨境电商店</t>
  </si>
  <si>
    <t xml:space="preserve">3C数码</t>
  </si>
  <si>
    <t xml:space="preserve">7月</t>
  </si>
  <si>
    <t xml:space="preserve">跨境电商店</t>
  </si>
  <si>
    <t xml:space="preserve">家居生活</t>
  </si>
  <si>
    <t xml:space="preserve">7月</t>
  </si>
  <si>
    <t xml:space="preserve">跨境电商店</t>
  </si>
  <si>
    <t xml:space="preserve">服饰鞋包</t>
  </si>
  <si>
    <t xml:space="preserve">7月</t>
  </si>
  <si>
    <t xml:space="preserve">跨境电商店</t>
  </si>
  <si>
    <t xml:space="preserve">美妆个护</t>
  </si>
  <si>
    <t xml:space="preserve">7月</t>
  </si>
  <si>
    <t xml:space="preserve">跨境电商店</t>
  </si>
  <si>
    <t xml:space="preserve">食品生鲜</t>
  </si>
  <si>
    <t xml:space="preserve">8月</t>
  </si>
  <si>
    <t xml:space="preserve">官方旗舰店</t>
  </si>
  <si>
    <t xml:space="preserve">3C数码</t>
  </si>
  <si>
    <t xml:space="preserve">8月</t>
  </si>
  <si>
    <t xml:space="preserve">官方旗舰店</t>
  </si>
  <si>
    <t xml:space="preserve">家居生活</t>
  </si>
  <si>
    <t xml:space="preserve">8月</t>
  </si>
  <si>
    <t xml:space="preserve">官方旗舰店</t>
  </si>
  <si>
    <t xml:space="preserve">服饰鞋包</t>
  </si>
  <si>
    <t xml:space="preserve">8月</t>
  </si>
  <si>
    <t xml:space="preserve">官方旗舰店</t>
  </si>
  <si>
    <t xml:space="preserve">美妆个护</t>
  </si>
  <si>
    <t xml:space="preserve">8月</t>
  </si>
  <si>
    <t xml:space="preserve">官方旗舰店</t>
  </si>
  <si>
    <t xml:space="preserve">食品生鲜</t>
  </si>
  <si>
    <t xml:space="preserve">8月</t>
  </si>
  <si>
    <t xml:space="preserve">品牌专卖店</t>
  </si>
  <si>
    <t xml:space="preserve">3C数码</t>
  </si>
  <si>
    <t xml:space="preserve">8月</t>
  </si>
  <si>
    <t xml:space="preserve">品牌专卖店</t>
  </si>
  <si>
    <t xml:space="preserve">家居生活</t>
  </si>
  <si>
    <t xml:space="preserve">8月</t>
  </si>
  <si>
    <t xml:space="preserve">品牌专卖店</t>
  </si>
  <si>
    <t xml:space="preserve">服饰鞋包</t>
  </si>
  <si>
    <t xml:space="preserve">8月</t>
  </si>
  <si>
    <t xml:space="preserve">品牌专卖店</t>
  </si>
  <si>
    <t xml:space="preserve">美妆个护</t>
  </si>
  <si>
    <t xml:space="preserve">8月</t>
  </si>
  <si>
    <t xml:space="preserve">品牌专卖店</t>
  </si>
  <si>
    <t xml:space="preserve">食品生鲜</t>
  </si>
  <si>
    <t xml:space="preserve">8月</t>
  </si>
  <si>
    <t xml:space="preserve">折扣专营店</t>
  </si>
  <si>
    <t xml:space="preserve">3C数码</t>
  </si>
  <si>
    <t xml:space="preserve">8月</t>
  </si>
  <si>
    <t xml:space="preserve">折扣专营店</t>
  </si>
  <si>
    <t xml:space="preserve">家居生活</t>
  </si>
  <si>
    <t xml:space="preserve">8月</t>
  </si>
  <si>
    <t xml:space="preserve">折扣专营店</t>
  </si>
  <si>
    <t xml:space="preserve">服饰鞋包</t>
  </si>
  <si>
    <t xml:space="preserve">8月</t>
  </si>
  <si>
    <t xml:space="preserve">折扣专营店</t>
  </si>
  <si>
    <t xml:space="preserve">美妆个护</t>
  </si>
  <si>
    <t xml:space="preserve">8月</t>
  </si>
  <si>
    <t xml:space="preserve">折扣专营店</t>
  </si>
  <si>
    <t xml:space="preserve">食品生鲜</t>
  </si>
  <si>
    <t xml:space="preserve">8月</t>
  </si>
  <si>
    <t xml:space="preserve">跨境电商店</t>
  </si>
  <si>
    <t xml:space="preserve">3C数码</t>
  </si>
  <si>
    <t xml:space="preserve">8月</t>
  </si>
  <si>
    <t xml:space="preserve">跨境电商店</t>
  </si>
  <si>
    <t xml:space="preserve">家居生活</t>
  </si>
  <si>
    <t xml:space="preserve">8月</t>
  </si>
  <si>
    <t xml:space="preserve">跨境电商店</t>
  </si>
  <si>
    <t xml:space="preserve">服饰鞋包</t>
  </si>
  <si>
    <t xml:space="preserve">8月</t>
  </si>
  <si>
    <t xml:space="preserve">跨境电商店</t>
  </si>
  <si>
    <t xml:space="preserve">美妆个护</t>
  </si>
  <si>
    <t xml:space="preserve">8月</t>
  </si>
  <si>
    <t xml:space="preserve">跨境电商店</t>
  </si>
  <si>
    <t xml:space="preserve">食品生鲜</t>
  </si>
  <si>
    <t xml:space="preserve">9月</t>
  </si>
  <si>
    <t xml:space="preserve">官方旗舰店</t>
  </si>
  <si>
    <t xml:space="preserve">3C数码</t>
  </si>
  <si>
    <t xml:space="preserve">9月</t>
  </si>
  <si>
    <t xml:space="preserve">官方旗舰店</t>
  </si>
  <si>
    <t xml:space="preserve">家居生活</t>
  </si>
  <si>
    <t xml:space="preserve">9月</t>
  </si>
  <si>
    <t xml:space="preserve">官方旗舰店</t>
  </si>
  <si>
    <t xml:space="preserve">服饰鞋包</t>
  </si>
  <si>
    <t xml:space="preserve">9月</t>
  </si>
  <si>
    <t xml:space="preserve">官方旗舰店</t>
  </si>
  <si>
    <t xml:space="preserve">美妆个护</t>
  </si>
  <si>
    <t xml:space="preserve">9月</t>
  </si>
  <si>
    <t xml:space="preserve">官方旗舰店</t>
  </si>
  <si>
    <t xml:space="preserve">食品生鲜</t>
  </si>
  <si>
    <t xml:space="preserve">9月</t>
  </si>
  <si>
    <t xml:space="preserve">品牌专卖店</t>
  </si>
  <si>
    <t xml:space="preserve">3C数码</t>
  </si>
  <si>
    <t xml:space="preserve">9月</t>
  </si>
  <si>
    <t xml:space="preserve">品牌专卖店</t>
  </si>
  <si>
    <t xml:space="preserve">家居生活</t>
  </si>
  <si>
    <t xml:space="preserve">9月</t>
  </si>
  <si>
    <t xml:space="preserve">品牌专卖店</t>
  </si>
  <si>
    <t xml:space="preserve">服饰鞋包</t>
  </si>
  <si>
    <t xml:space="preserve">9月</t>
  </si>
  <si>
    <t xml:space="preserve">品牌专卖店</t>
  </si>
  <si>
    <t xml:space="preserve">美妆个护</t>
  </si>
  <si>
    <t xml:space="preserve">9月</t>
  </si>
  <si>
    <t xml:space="preserve">品牌专卖店</t>
  </si>
  <si>
    <t xml:space="preserve">食品生鲜</t>
  </si>
  <si>
    <t xml:space="preserve">9月</t>
  </si>
  <si>
    <t xml:space="preserve">折扣专营店</t>
  </si>
  <si>
    <t xml:space="preserve">3C数码</t>
  </si>
  <si>
    <t xml:space="preserve">9月</t>
  </si>
  <si>
    <t xml:space="preserve">折扣专营店</t>
  </si>
  <si>
    <t xml:space="preserve">家居生活</t>
  </si>
  <si>
    <t xml:space="preserve">9月</t>
  </si>
  <si>
    <t xml:space="preserve">折扣专营店</t>
  </si>
  <si>
    <t xml:space="preserve">服饰鞋包</t>
  </si>
  <si>
    <t xml:space="preserve">9月</t>
  </si>
  <si>
    <t xml:space="preserve">折扣专营店</t>
  </si>
  <si>
    <t xml:space="preserve">美妆个护</t>
  </si>
  <si>
    <t xml:space="preserve">9月</t>
  </si>
  <si>
    <t xml:space="preserve">折扣专营店</t>
  </si>
  <si>
    <t xml:space="preserve">食品生鲜</t>
  </si>
  <si>
    <t xml:space="preserve">9月</t>
  </si>
  <si>
    <t xml:space="preserve">跨境电商店</t>
  </si>
  <si>
    <t xml:space="preserve">3C数码</t>
  </si>
  <si>
    <t xml:space="preserve">9月</t>
  </si>
  <si>
    <t xml:space="preserve">跨境电商店</t>
  </si>
  <si>
    <t xml:space="preserve">家居生活</t>
  </si>
  <si>
    <t xml:space="preserve">9月</t>
  </si>
  <si>
    <t xml:space="preserve">跨境电商店</t>
  </si>
  <si>
    <t xml:space="preserve">服饰鞋包</t>
  </si>
  <si>
    <t xml:space="preserve">9月</t>
  </si>
  <si>
    <t xml:space="preserve">跨境电商店</t>
  </si>
  <si>
    <t xml:space="preserve">美妆个护</t>
  </si>
  <si>
    <t xml:space="preserve">9月</t>
  </si>
  <si>
    <t xml:space="preserve">跨境电商店</t>
  </si>
  <si>
    <t xml:space="preserve">食品生鲜</t>
  </si>
  <si>
    <t xml:space="preserve">10月</t>
  </si>
  <si>
    <t xml:space="preserve">官方旗舰店</t>
  </si>
  <si>
    <t xml:space="preserve">3C数码</t>
  </si>
  <si>
    <t xml:space="preserve">10月</t>
  </si>
  <si>
    <t xml:space="preserve">官方旗舰店</t>
  </si>
  <si>
    <t xml:space="preserve">家居生活</t>
  </si>
  <si>
    <t xml:space="preserve">10月</t>
  </si>
  <si>
    <t xml:space="preserve">官方旗舰店</t>
  </si>
  <si>
    <t xml:space="preserve">服饰鞋包</t>
  </si>
  <si>
    <t xml:space="preserve">10月</t>
  </si>
  <si>
    <t xml:space="preserve">官方旗舰店</t>
  </si>
  <si>
    <t xml:space="preserve">美妆个护</t>
  </si>
  <si>
    <t xml:space="preserve">10月</t>
  </si>
  <si>
    <t xml:space="preserve">官方旗舰店</t>
  </si>
  <si>
    <t xml:space="preserve">食品生鲜</t>
  </si>
  <si>
    <t xml:space="preserve">10月</t>
  </si>
  <si>
    <t xml:space="preserve">品牌专卖店</t>
  </si>
  <si>
    <t xml:space="preserve">3C数码</t>
  </si>
  <si>
    <t xml:space="preserve">10月</t>
  </si>
  <si>
    <t xml:space="preserve">品牌专卖店</t>
  </si>
  <si>
    <t xml:space="preserve">家居生活</t>
  </si>
  <si>
    <t xml:space="preserve">10月</t>
  </si>
  <si>
    <t xml:space="preserve">品牌专卖店</t>
  </si>
  <si>
    <t xml:space="preserve">服饰鞋包</t>
  </si>
  <si>
    <t xml:space="preserve">10月</t>
  </si>
  <si>
    <t xml:space="preserve">品牌专卖店</t>
  </si>
  <si>
    <t xml:space="preserve">美妆个护</t>
  </si>
  <si>
    <t xml:space="preserve">10月</t>
  </si>
  <si>
    <t xml:space="preserve">品牌专卖店</t>
  </si>
  <si>
    <t xml:space="preserve">食品生鲜</t>
  </si>
  <si>
    <t xml:space="preserve">10月</t>
  </si>
  <si>
    <t xml:space="preserve">折扣专营店</t>
  </si>
  <si>
    <t xml:space="preserve">3C数码</t>
  </si>
  <si>
    <t xml:space="preserve">10月</t>
  </si>
  <si>
    <t xml:space="preserve">折扣专营店</t>
  </si>
  <si>
    <t xml:space="preserve">家居生活</t>
  </si>
  <si>
    <t xml:space="preserve">10月</t>
  </si>
  <si>
    <t xml:space="preserve">折扣专营店</t>
  </si>
  <si>
    <t xml:space="preserve">服饰鞋包</t>
  </si>
  <si>
    <t xml:space="preserve">10月</t>
  </si>
  <si>
    <t xml:space="preserve">折扣专营店</t>
  </si>
  <si>
    <t xml:space="preserve">美妆个护</t>
  </si>
  <si>
    <t xml:space="preserve">10月</t>
  </si>
  <si>
    <t xml:space="preserve">折扣专营店</t>
  </si>
  <si>
    <t xml:space="preserve">食品生鲜</t>
  </si>
  <si>
    <t xml:space="preserve">10月</t>
  </si>
  <si>
    <t xml:space="preserve">跨境电商店</t>
  </si>
  <si>
    <t xml:space="preserve">3C数码</t>
  </si>
  <si>
    <t xml:space="preserve">10月</t>
  </si>
  <si>
    <t xml:space="preserve">跨境电商店</t>
  </si>
  <si>
    <t xml:space="preserve">家居生活</t>
  </si>
  <si>
    <t xml:space="preserve">10月</t>
  </si>
  <si>
    <t xml:space="preserve">跨境电商店</t>
  </si>
  <si>
    <t xml:space="preserve">服饰鞋包</t>
  </si>
  <si>
    <t xml:space="preserve">10月</t>
  </si>
  <si>
    <t xml:space="preserve">跨境电商店</t>
  </si>
  <si>
    <t xml:space="preserve">美妆个护</t>
  </si>
  <si>
    <t xml:space="preserve">10月</t>
  </si>
  <si>
    <t xml:space="preserve">跨境电商店</t>
  </si>
  <si>
    <t xml:space="preserve">食品生鲜</t>
  </si>
  <si>
    <t xml:space="preserve">11月</t>
  </si>
  <si>
    <t xml:space="preserve">官方旗舰店</t>
  </si>
  <si>
    <t xml:space="preserve">3C数码</t>
  </si>
  <si>
    <t xml:space="preserve">11月</t>
  </si>
  <si>
    <t xml:space="preserve">官方旗舰店</t>
  </si>
  <si>
    <t xml:space="preserve">家居生活</t>
  </si>
  <si>
    <t xml:space="preserve">11月</t>
  </si>
  <si>
    <t xml:space="preserve">官方旗舰店</t>
  </si>
  <si>
    <t xml:space="preserve">服饰鞋包</t>
  </si>
  <si>
    <t xml:space="preserve">11月</t>
  </si>
  <si>
    <t xml:space="preserve">官方旗舰店</t>
  </si>
  <si>
    <t xml:space="preserve">美妆个护</t>
  </si>
  <si>
    <t xml:space="preserve">11月</t>
  </si>
  <si>
    <t xml:space="preserve">官方旗舰店</t>
  </si>
  <si>
    <t xml:space="preserve">食品生鲜</t>
  </si>
  <si>
    <t xml:space="preserve">11月</t>
  </si>
  <si>
    <t xml:space="preserve">品牌专卖店</t>
  </si>
  <si>
    <t xml:space="preserve">3C数码</t>
  </si>
  <si>
    <t xml:space="preserve">11月</t>
  </si>
  <si>
    <t xml:space="preserve">品牌专卖店</t>
  </si>
  <si>
    <t xml:space="preserve">家居生活</t>
  </si>
  <si>
    <t xml:space="preserve">11月</t>
  </si>
  <si>
    <t xml:space="preserve">品牌专卖店</t>
  </si>
  <si>
    <t xml:space="preserve">服饰鞋包</t>
  </si>
  <si>
    <t xml:space="preserve">11月</t>
  </si>
  <si>
    <t xml:space="preserve">品牌专卖店</t>
  </si>
  <si>
    <t xml:space="preserve">美妆个护</t>
  </si>
  <si>
    <t xml:space="preserve">11月</t>
  </si>
  <si>
    <t xml:space="preserve">品牌专卖店</t>
  </si>
  <si>
    <t xml:space="preserve">食品生鲜</t>
  </si>
  <si>
    <t xml:space="preserve">11月</t>
  </si>
  <si>
    <t xml:space="preserve">折扣专营店</t>
  </si>
  <si>
    <t xml:space="preserve">3C数码</t>
  </si>
  <si>
    <t xml:space="preserve">11月</t>
  </si>
  <si>
    <t xml:space="preserve">折扣专营店</t>
  </si>
  <si>
    <t xml:space="preserve">家居生活</t>
  </si>
  <si>
    <t xml:space="preserve">11月</t>
  </si>
  <si>
    <t xml:space="preserve">折扣专营店</t>
  </si>
  <si>
    <t xml:space="preserve">服饰鞋包</t>
  </si>
  <si>
    <t xml:space="preserve">11月</t>
  </si>
  <si>
    <t xml:space="preserve">折扣专营店</t>
  </si>
  <si>
    <t xml:space="preserve">美妆个护</t>
  </si>
  <si>
    <t xml:space="preserve">11月</t>
  </si>
  <si>
    <t xml:space="preserve">折扣专营店</t>
  </si>
  <si>
    <t xml:space="preserve">食品生鲜</t>
  </si>
  <si>
    <t xml:space="preserve">11月</t>
  </si>
  <si>
    <t xml:space="preserve">跨境电商店</t>
  </si>
  <si>
    <t xml:space="preserve">3C数码</t>
  </si>
  <si>
    <t xml:space="preserve">11月</t>
  </si>
  <si>
    <t xml:space="preserve">跨境电商店</t>
  </si>
  <si>
    <t xml:space="preserve">家居生活</t>
  </si>
  <si>
    <t xml:space="preserve">11月</t>
  </si>
  <si>
    <t xml:space="preserve">跨境电商店</t>
  </si>
  <si>
    <t xml:space="preserve">服饰鞋包</t>
  </si>
  <si>
    <t xml:space="preserve">11月</t>
  </si>
  <si>
    <t xml:space="preserve">跨境电商店</t>
  </si>
  <si>
    <t xml:space="preserve">美妆个护</t>
  </si>
  <si>
    <t xml:space="preserve">11月</t>
  </si>
  <si>
    <t xml:space="preserve">跨境电商店</t>
  </si>
  <si>
    <t xml:space="preserve">食品生鲜</t>
  </si>
  <si>
    <t xml:space="preserve">12月</t>
  </si>
  <si>
    <t xml:space="preserve">官方旗舰店</t>
  </si>
  <si>
    <t xml:space="preserve">3C数码</t>
  </si>
  <si>
    <t xml:space="preserve">12月</t>
  </si>
  <si>
    <t xml:space="preserve">官方旗舰店</t>
  </si>
  <si>
    <t xml:space="preserve">家居生活</t>
  </si>
  <si>
    <t xml:space="preserve">12月</t>
  </si>
  <si>
    <t xml:space="preserve">官方旗舰店</t>
  </si>
  <si>
    <t xml:space="preserve">服饰鞋包</t>
  </si>
  <si>
    <t xml:space="preserve">12月</t>
  </si>
  <si>
    <t xml:space="preserve">官方旗舰店</t>
  </si>
  <si>
    <t xml:space="preserve">美妆个护</t>
  </si>
  <si>
    <t xml:space="preserve">12月</t>
  </si>
  <si>
    <t xml:space="preserve">官方旗舰店</t>
  </si>
  <si>
    <t xml:space="preserve">食品生鲜</t>
  </si>
  <si>
    <t xml:space="preserve">12月</t>
  </si>
  <si>
    <t xml:space="preserve">品牌专卖店</t>
  </si>
  <si>
    <t xml:space="preserve">3C数码</t>
  </si>
  <si>
    <t xml:space="preserve">12月</t>
  </si>
  <si>
    <t xml:space="preserve">品牌专卖店</t>
  </si>
  <si>
    <t xml:space="preserve">家居生活</t>
  </si>
  <si>
    <t xml:space="preserve">12月</t>
  </si>
  <si>
    <t xml:space="preserve">品牌专卖店</t>
  </si>
  <si>
    <t xml:space="preserve">服饰鞋包</t>
  </si>
  <si>
    <t xml:space="preserve">12月</t>
  </si>
  <si>
    <t xml:space="preserve">品牌专卖店</t>
  </si>
  <si>
    <t xml:space="preserve">美妆个护</t>
  </si>
  <si>
    <t xml:space="preserve">12月</t>
  </si>
  <si>
    <t xml:space="preserve">品牌专卖店</t>
  </si>
  <si>
    <t xml:space="preserve">食品生鲜</t>
  </si>
  <si>
    <t xml:space="preserve">12月</t>
  </si>
  <si>
    <t xml:space="preserve">折扣专营店</t>
  </si>
  <si>
    <t xml:space="preserve">3C数码</t>
  </si>
  <si>
    <t xml:space="preserve">12月</t>
  </si>
  <si>
    <t xml:space="preserve">折扣专营店</t>
  </si>
  <si>
    <t xml:space="preserve">家居生活</t>
  </si>
  <si>
    <t xml:space="preserve">12月</t>
  </si>
  <si>
    <t xml:space="preserve">折扣专营店</t>
  </si>
  <si>
    <t xml:space="preserve">服饰鞋包</t>
  </si>
  <si>
    <t xml:space="preserve">12月</t>
  </si>
  <si>
    <t xml:space="preserve">折扣专营店</t>
  </si>
  <si>
    <t xml:space="preserve">美妆个护</t>
  </si>
  <si>
    <t xml:space="preserve">12月</t>
  </si>
  <si>
    <t xml:space="preserve">折扣专营店</t>
  </si>
  <si>
    <t xml:space="preserve">食品生鲜</t>
  </si>
  <si>
    <t xml:space="preserve">12月</t>
  </si>
  <si>
    <t xml:space="preserve">跨境电商店</t>
  </si>
  <si>
    <t xml:space="preserve">3C数码</t>
  </si>
  <si>
    <t xml:space="preserve">12月</t>
  </si>
  <si>
    <t xml:space="preserve">跨境电商店</t>
  </si>
  <si>
    <t xml:space="preserve">家居生活</t>
  </si>
  <si>
    <t xml:space="preserve">12月</t>
  </si>
  <si>
    <t xml:space="preserve">跨境电商店</t>
  </si>
  <si>
    <t xml:space="preserve">服饰鞋包</t>
  </si>
  <si>
    <t xml:space="preserve">12月</t>
  </si>
  <si>
    <t xml:space="preserve">跨境电商店</t>
  </si>
  <si>
    <t xml:space="preserve">美妆个护</t>
  </si>
  <si>
    <t xml:space="preserve">12月</t>
  </si>
  <si>
    <t xml:space="preserve">跨境电商店</t>
  </si>
  <si>
    <t xml:space="preserve">食品生鲜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</si>
</sst>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@"/>
    <numFmt numFmtId="165" formatCode="YYYY-MM-DD"/>
    <numFmt numFmtId="166" formatCode="#,##0.00"/>
    <numFmt numFmtId="167" formatCode="0.00%"/>
    <numFmt numFmtId="168" formatCode="#,##0.00"/>
  </numFmts>
  <fonts count="6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  <font>
      <b val="true"/>
      <sz val="11"/>
      <color rgb="FF000000"/>
      <name val="微软雅黑"/>
      <family val="2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D9E1F2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true" applyProtection="false" borderId="1" fillId="4" fontId="4" numFmtId="164" xfId="0">
      <alignment horizontal="left" vertical="center" wrapText="true"/>
    </xf>
    <xf applyAlignment="true" applyBorder="false" applyFill="true" applyFont="true" applyNumberFormat="true" applyProtection="false" borderId="1" fillId="4" fontId="4" numFmtId="165" xfId="0">
      <alignment horizontal="left" vertical="center" wrapText="true"/>
    </xf>
    <xf applyAlignment="true" applyBorder="false" applyFill="true" applyFont="true" applyNumberFormat="false" applyProtection="false" borderId="1" fillId="4" fontId="4" numFmtId="0" xfId="0">
      <alignment horizontal="left" vertical="center" wrapText="true"/>
    </xf>
    <xf applyAlignment="true" applyBorder="false" applyFill="true" applyFont="true" applyNumberFormat="false" applyProtection="false" borderId="1" fillId="4" fontId="4" numFmtId="0" xfId="0">
      <alignment horizontal="right" vertical="center" wrapText="true"/>
    </xf>
    <xf applyAlignment="true" applyBorder="false" applyFill="true" applyFont="true" applyNumberFormat="true" applyProtection="false" borderId="1" fillId="4" fontId="4" numFmtId="166" xfId="0">
      <alignment horizontal="right" vertical="center" wrapText="true"/>
    </xf>
    <xf applyAlignment="true" applyBorder="false" applyFill="true" applyFont="true" applyNumberFormat="true" applyProtection="false" borderId="1" fillId="4" fontId="4" numFmtId="167" xfId="0">
      <alignment horizontal="right" vertical="center" wrapText="true"/>
    </xf>
    <xf applyAlignment="true" applyBorder="false" applyFill="false" applyFont="true" applyNumberFormat="true" applyProtection="false" borderId="1" fillId="0" fontId="4" numFmtId="164" xfId="0">
      <alignment horizontal="left" vertical="center" wrapText="true"/>
    </xf>
    <xf applyAlignment="true" applyBorder="false" applyFill="false" applyFont="true" applyNumberFormat="true" applyProtection="false" borderId="1" fillId="0" fontId="4" numFmtId="165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right" vertical="center" wrapText="true"/>
    </xf>
    <xf applyAlignment="true" applyBorder="false" applyFill="false" applyFont="true" applyNumberFormat="true" applyProtection="false" borderId="1" fillId="0" fontId="4" numFmtId="166" xfId="0">
      <alignment horizontal="right" vertical="center" wrapText="true"/>
    </xf>
    <xf applyAlignment="true" applyBorder="false" applyFill="false" applyFont="true" applyNumberFormat="true" applyProtection="false" borderId="1" fillId="0" fontId="4" numFmtId="167" xfId="0">
      <alignment horizontal="right" vertical="center" wrapText="true"/>
    </xf>
    <xf applyAlignment="true" applyBorder="false" applyFill="true" applyFont="true" applyNumberFormat="false" applyProtection="false" borderId="0" fillId="5" fontId="5" numFmtId="0" xfId="0">
      <alignment horizontal="center" vertical="center" wrapText="true"/>
    </xf>
    <xf applyAlignment="true" applyBorder="false" applyFill="true" applyFont="true" applyNumberFormat="false" applyProtection="false" borderId="0" fillId="5" fontId="5" numFmtId="0" xfId="0">
      <alignment horizontal="right" vertical="center" wrapText="true"/>
    </xf>
    <xf applyAlignment="true" applyBorder="false" applyFill="true" applyFont="true" applyNumberFormat="true" applyProtection="false" borderId="0" fillId="5" fontId="5" numFmtId="166" xfId="0">
      <alignment horizontal="right" vertical="center" wrapText="true"/>
    </xf>
    <xf applyAlignment="true" applyBorder="false" applyFill="true" applyFont="true" applyNumberFormat="true" applyProtection="false" borderId="0" fillId="5" fontId="5" numFmtId="167" xfId="0">
      <alignment horizontal="righ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true" applyFont="true" applyNumberFormat="false" applyProtection="false" borderId="0" fillId="7" fontId="3" numFmtId="0" xfId="0">
      <alignment horizontal="center" vertical="center" wrapText="true"/>
    </xf>
    <xf applyAlignment="true" applyBorder="false" applyFill="true" applyFont="true" applyNumberFormat="false" applyProtection="false" borderId="2" fillId="8" fontId="4" numFmtId="0" xfId="0">
      <alignment horizontal="left" vertical="center" wrapText="true"/>
    </xf>
    <xf applyAlignment="true" applyBorder="false" applyFill="true" applyFont="true" applyNumberFormat="false" applyProtection="false" borderId="2" fillId="8" fontId="4" numFmtId="0" xfId="0">
      <alignment horizontal="right" vertical="center" wrapText="true"/>
    </xf>
    <xf applyAlignment="true" applyBorder="false" applyFill="true" applyFont="true" applyNumberFormat="true" applyProtection="false" borderId="2" fillId="8" fontId="4" numFmtId="168" xfId="0">
      <alignment horizontal="right"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false" applyFont="true" applyNumberFormat="false" applyProtection="false" borderId="2" fillId="0" fontId="4" numFmtId="0" xfId="0">
      <alignment horizontal="right" vertical="center" wrapText="true"/>
    </xf>
    <xf applyAlignment="true" applyBorder="false" applyFill="false" applyFont="true" applyNumberFormat="true" applyProtection="false" borderId="2" fillId="0" fontId="4" numFmtId="168" xfId="0">
      <alignment horizontal="righ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F3" xSplit="5" ySplit="2"/>
    </sheetView>
  </sheetViews>
  <sheetFormatPr defaultColWidth="14" defaultRowHeight="19"/>
  <cols>
    <col collapsed="false" customWidth="true" hidden="false" max="8" min="8" style="0" width="18"/>
    <col collapsed="false" customWidth="true" hidden="false" max="10" min="10" style="0" width="18"/>
    <col collapsed="false" customWidth="true" hidden="false" max="2" min="2" style="0" width="24"/>
    <col collapsed="false" customWidth="true" hidden="false" max="4" min="4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9" min="9" style="0" width="18"/>
    <col collapsed="false" customWidth="true" hidden="false" max="11" min="11" style="0" width="27"/>
    <col collapsed="false" customWidth="true" hidden="false" max="1" min="1" style="0" width="28"/>
    <col collapsed="false" customWidth="true" hidden="false" max="3" min="3" style="0" width="15"/>
    <col collapsed="false" customWidth="true" hidden="false" max="5" min="5" style="0" width="15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customHeight="true" ht="15" r="3">
      <c r="A3" s="3" t="s">
        <v>13</v>
      </c>
      <c r="B3" s="4">
        <v>45364</v>
      </c>
      <c r="C3" s="5" t="s">
        <v>14</v>
      </c>
      <c r="D3" s="5" t="s">
        <v>15</v>
      </c>
      <c r="E3" s="5" t="s">
        <v>16</v>
      </c>
      <c r="F3" s="6">
        <v>8</v>
      </c>
      <c r="G3" s="7">
        <v>4943</v>
      </c>
      <c r="H3" s="7">
        <f>F3*G3</f>
      </c>
      <c r="I3" s="7">
        <f>H3*0.32</f>
      </c>
      <c r="J3" s="7">
        <f>H3-I3</f>
      </c>
      <c r="K3" s="8">
        <f>IFERROR(J3/H3,0)</f>
      </c>
    </row>
    <row customHeight="true" ht="15" r="4">
      <c r="A4" s="9" t="s">
        <v>17</v>
      </c>
      <c r="B4" s="10">
        <v>45628</v>
      </c>
      <c r="C4" s="11" t="s">
        <v>18</v>
      </c>
      <c r="D4" s="11" t="s">
        <v>19</v>
      </c>
      <c r="E4" s="11" t="s">
        <v>20</v>
      </c>
      <c r="F4" s="12">
        <v>2</v>
      </c>
      <c r="G4" s="13">
        <v>1670.19</v>
      </c>
      <c r="H4" s="13">
        <f>F4*G4</f>
      </c>
      <c r="I4" s="13">
        <f>H4*0.36</f>
      </c>
      <c r="J4" s="13">
        <f>H4-I4</f>
      </c>
      <c r="K4" s="14">
        <f>IFERROR(J4/H4,0)</f>
      </c>
    </row>
    <row customHeight="true" ht="15" r="5">
      <c r="A5" s="3" t="s">
        <v>21</v>
      </c>
      <c r="B5" s="4">
        <v>45368</v>
      </c>
      <c r="C5" s="5" t="s">
        <v>22</v>
      </c>
      <c r="D5" s="5" t="s">
        <v>23</v>
      </c>
      <c r="E5" s="5" t="s">
        <v>24</v>
      </c>
      <c r="F5" s="6">
        <v>5</v>
      </c>
      <c r="G5" s="7">
        <v>2435.99</v>
      </c>
      <c r="H5" s="7">
        <f>F5*G5</f>
      </c>
      <c r="I5" s="7">
        <f>H5*0.65</f>
      </c>
      <c r="J5" s="7">
        <f>H5-I5</f>
      </c>
      <c r="K5" s="8">
        <f>IFERROR(J5/H5,0)</f>
      </c>
    </row>
    <row customHeight="true" ht="15" r="6">
      <c r="A6" s="9" t="s">
        <v>25</v>
      </c>
      <c r="B6" s="10">
        <v>45380</v>
      </c>
      <c r="C6" s="11" t="s">
        <v>26</v>
      </c>
      <c r="D6" s="11" t="s">
        <v>27</v>
      </c>
      <c r="E6" s="11" t="s">
        <v>28</v>
      </c>
      <c r="F6" s="12">
        <v>2</v>
      </c>
      <c r="G6" s="13">
        <v>2184.41</v>
      </c>
      <c r="H6" s="13">
        <f>F6*G6</f>
      </c>
      <c r="I6" s="13">
        <f>H6*0.36</f>
      </c>
      <c r="J6" s="13">
        <f>H6-I6</f>
      </c>
      <c r="K6" s="14">
        <f>IFERROR(J6/H6,0)</f>
      </c>
    </row>
    <row customHeight="true" ht="15" r="7">
      <c r="A7" s="3" t="s">
        <v>29</v>
      </c>
      <c r="B7" s="4">
        <v>45328</v>
      </c>
      <c r="C7" s="5" t="s">
        <v>30</v>
      </c>
      <c r="D7" s="5" t="s">
        <v>31</v>
      </c>
      <c r="E7" s="5" t="s">
        <v>32</v>
      </c>
      <c r="F7" s="6">
        <v>2</v>
      </c>
      <c r="G7" s="7">
        <v>929.79</v>
      </c>
      <c r="H7" s="7">
        <f>F7*G7</f>
      </c>
      <c r="I7" s="7">
        <f>H7*0.5</f>
      </c>
      <c r="J7" s="7">
        <f>H7-I7</f>
      </c>
      <c r="K7" s="8">
        <f>IFERROR(J7/H7,0)</f>
      </c>
    </row>
    <row customHeight="true" ht="15" r="8">
      <c r="A8" s="9" t="s">
        <v>33</v>
      </c>
      <c r="B8" s="10">
        <v>45460</v>
      </c>
      <c r="C8" s="11" t="s">
        <v>34</v>
      </c>
      <c r="D8" s="11" t="s">
        <v>35</v>
      </c>
      <c r="E8" s="11" t="s">
        <v>36</v>
      </c>
      <c r="F8" s="12">
        <v>2</v>
      </c>
      <c r="G8" s="13">
        <v>2997.34</v>
      </c>
      <c r="H8" s="13">
        <f>F8*G8</f>
      </c>
      <c r="I8" s="13">
        <f>H8*0.62</f>
      </c>
      <c r="J8" s="13">
        <f>H8-I8</f>
      </c>
      <c r="K8" s="14">
        <f>IFERROR(J8/H8,0)</f>
      </c>
    </row>
    <row customHeight="true" ht="15" r="9">
      <c r="A9" s="3" t="s">
        <v>37</v>
      </c>
      <c r="B9" s="4">
        <v>45351</v>
      </c>
      <c r="C9" s="5" t="s">
        <v>38</v>
      </c>
      <c r="D9" s="5" t="s">
        <v>39</v>
      </c>
      <c r="E9" s="5" t="s">
        <v>40</v>
      </c>
      <c r="F9" s="6">
        <v>9</v>
      </c>
      <c r="G9" s="7">
        <v>3900.45</v>
      </c>
      <c r="H9" s="7">
        <f>F9*G9</f>
      </c>
      <c r="I9" s="7">
        <f>H9*0.65</f>
      </c>
      <c r="J9" s="7">
        <f>H9-I9</f>
      </c>
      <c r="K9" s="8">
        <f>IFERROR(J9/H9,0)</f>
      </c>
    </row>
    <row customHeight="true" ht="15" r="10">
      <c r="A10" s="9" t="s">
        <v>41</v>
      </c>
      <c r="B10" s="10">
        <v>45371</v>
      </c>
      <c r="C10" s="11" t="s">
        <v>42</v>
      </c>
      <c r="D10" s="11" t="s">
        <v>43</v>
      </c>
      <c r="E10" s="11" t="s">
        <v>44</v>
      </c>
      <c r="F10" s="12">
        <v>1</v>
      </c>
      <c r="G10" s="13">
        <v>3717.06</v>
      </c>
      <c r="H10" s="13">
        <f>F10*G10</f>
      </c>
      <c r="I10" s="13">
        <f>H10*0.58</f>
      </c>
      <c r="J10" s="13">
        <f>H10-I10</f>
      </c>
      <c r="K10" s="14">
        <f>IFERROR(J10/H10,0)</f>
      </c>
    </row>
    <row customHeight="true" ht="15" r="11">
      <c r="A11" s="3" t="s">
        <v>45</v>
      </c>
      <c r="B11" s="4">
        <v>45517</v>
      </c>
      <c r="C11" s="5" t="s">
        <v>46</v>
      </c>
      <c r="D11" s="5" t="s">
        <v>47</v>
      </c>
      <c r="E11" s="5" t="s">
        <v>48</v>
      </c>
      <c r="F11" s="6">
        <v>5</v>
      </c>
      <c r="G11" s="7">
        <v>2825.38</v>
      </c>
      <c r="H11" s="7">
        <f>F11*G11</f>
      </c>
      <c r="I11" s="7">
        <f>H11*0.43</f>
      </c>
      <c r="J11" s="7">
        <f>H11-I11</f>
      </c>
      <c r="K11" s="8">
        <f>IFERROR(J11/H11,0)</f>
      </c>
    </row>
    <row customHeight="true" ht="15" r="12">
      <c r="A12" s="9" t="s">
        <v>49</v>
      </c>
      <c r="B12" s="10">
        <v>45356</v>
      </c>
      <c r="C12" s="11" t="s">
        <v>50</v>
      </c>
      <c r="D12" s="11" t="s">
        <v>51</v>
      </c>
      <c r="E12" s="11" t="s">
        <v>52</v>
      </c>
      <c r="F12" s="12">
        <v>3</v>
      </c>
      <c r="G12" s="13">
        <v>2182.09</v>
      </c>
      <c r="H12" s="13">
        <f>F12*G12</f>
      </c>
      <c r="I12" s="13">
        <f>H12*0.68</f>
      </c>
      <c r="J12" s="13">
        <f>H12-I12</f>
      </c>
      <c r="K12" s="14">
        <f>IFERROR(J12/H12,0)</f>
      </c>
    </row>
    <row customHeight="true" ht="15" r="13">
      <c r="A13" s="3" t="s">
        <v>53</v>
      </c>
      <c r="B13" s="4">
        <v>45635</v>
      </c>
      <c r="C13" s="5" t="s">
        <v>54</v>
      </c>
      <c r="D13" s="5" t="s">
        <v>55</v>
      </c>
      <c r="E13" s="5" t="s">
        <v>56</v>
      </c>
      <c r="F13" s="6">
        <v>10</v>
      </c>
      <c r="G13" s="7">
        <v>764.7</v>
      </c>
      <c r="H13" s="7">
        <f>F13*G13</f>
      </c>
      <c r="I13" s="7">
        <f>H13*0.36</f>
      </c>
      <c r="J13" s="7">
        <f>H13-I13</f>
      </c>
      <c r="K13" s="8">
        <f>IFERROR(J13/H13,0)</f>
      </c>
    </row>
    <row customHeight="true" ht="15" r="14">
      <c r="A14" s="9" t="s">
        <v>57</v>
      </c>
      <c r="B14" s="10">
        <v>45345</v>
      </c>
      <c r="C14" s="11" t="s">
        <v>58</v>
      </c>
      <c r="D14" s="11" t="s">
        <v>59</v>
      </c>
      <c r="E14" s="11" t="s">
        <v>60</v>
      </c>
      <c r="F14" s="12">
        <v>1</v>
      </c>
      <c r="G14" s="13">
        <v>1571.88</v>
      </c>
      <c r="H14" s="13">
        <f>F14*G14</f>
      </c>
      <c r="I14" s="13">
        <f>H14*0.56</f>
      </c>
      <c r="J14" s="13">
        <f>H14-I14</f>
      </c>
      <c r="K14" s="14">
        <f>IFERROR(J14/H14,0)</f>
      </c>
    </row>
    <row customHeight="true" ht="15" r="15">
      <c r="A15" s="3" t="s">
        <v>61</v>
      </c>
      <c r="B15" s="4">
        <v>45656</v>
      </c>
      <c r="C15" s="5" t="s">
        <v>62</v>
      </c>
      <c r="D15" s="5" t="s">
        <v>63</v>
      </c>
      <c r="E15" s="5" t="s">
        <v>64</v>
      </c>
      <c r="F15" s="6">
        <v>8</v>
      </c>
      <c r="G15" s="7">
        <v>2997.43</v>
      </c>
      <c r="H15" s="7">
        <f>F15*G15</f>
      </c>
      <c r="I15" s="7">
        <f>H15*0.68</f>
      </c>
      <c r="J15" s="7">
        <f>H15-I15</f>
      </c>
      <c r="K15" s="8">
        <f>IFERROR(J15/H15,0)</f>
      </c>
    </row>
    <row customHeight="true" ht="15" r="16">
      <c r="A16" s="9" t="s">
        <v>65</v>
      </c>
      <c r="B16" s="10">
        <v>45388</v>
      </c>
      <c r="C16" s="11" t="s">
        <v>66</v>
      </c>
      <c r="D16" s="11" t="s">
        <v>67</v>
      </c>
      <c r="E16" s="11" t="s">
        <v>68</v>
      </c>
      <c r="F16" s="12">
        <v>4</v>
      </c>
      <c r="G16" s="13">
        <v>248.96</v>
      </c>
      <c r="H16" s="13">
        <f>F16*G16</f>
      </c>
      <c r="I16" s="13">
        <f>H16*0.66</f>
      </c>
      <c r="J16" s="13">
        <f>H16-I16</f>
      </c>
      <c r="K16" s="14">
        <f>IFERROR(J16/H16,0)</f>
      </c>
    </row>
    <row customHeight="true" ht="15" r="17">
      <c r="A17" s="3" t="s">
        <v>69</v>
      </c>
      <c r="B17" s="4">
        <v>45589</v>
      </c>
      <c r="C17" s="5" t="s">
        <v>70</v>
      </c>
      <c r="D17" s="5" t="s">
        <v>71</v>
      </c>
      <c r="E17" s="5" t="s">
        <v>72</v>
      </c>
      <c r="F17" s="6">
        <v>8</v>
      </c>
      <c r="G17" s="7">
        <v>2813.8</v>
      </c>
      <c r="H17" s="7">
        <f>F17*G17</f>
      </c>
      <c r="I17" s="7">
        <f>H17*0.38</f>
      </c>
      <c r="J17" s="7">
        <f>H17-I17</f>
      </c>
      <c r="K17" s="8">
        <f>IFERROR(J17/H17,0)</f>
      </c>
    </row>
    <row customHeight="true" ht="15" r="18">
      <c r="A18" s="9" t="s">
        <v>73</v>
      </c>
      <c r="B18" s="10">
        <v>45494</v>
      </c>
      <c r="C18" s="11" t="s">
        <v>74</v>
      </c>
      <c r="D18" s="11" t="s">
        <v>75</v>
      </c>
      <c r="E18" s="11" t="s">
        <v>76</v>
      </c>
      <c r="F18" s="12">
        <v>3</v>
      </c>
      <c r="G18" s="13">
        <v>1956.23</v>
      </c>
      <c r="H18" s="13">
        <f>F18*G18</f>
      </c>
      <c r="I18" s="13">
        <f>H18*0.68</f>
      </c>
      <c r="J18" s="13">
        <f>H18-I18</f>
      </c>
      <c r="K18" s="14">
        <f>IFERROR(J18/H18,0)</f>
      </c>
    </row>
    <row customHeight="true" ht="15" r="19">
      <c r="A19" s="3" t="s">
        <v>77</v>
      </c>
      <c r="B19" s="4">
        <v>45358</v>
      </c>
      <c r="C19" s="5" t="s">
        <v>78</v>
      </c>
      <c r="D19" s="5" t="s">
        <v>79</v>
      </c>
      <c r="E19" s="5" t="s">
        <v>80</v>
      </c>
      <c r="F19" s="6">
        <v>9</v>
      </c>
      <c r="G19" s="7">
        <v>408.56</v>
      </c>
      <c r="H19" s="7">
        <f>F19*G19</f>
      </c>
      <c r="I19" s="7">
        <f>H19*0.68</f>
      </c>
      <c r="J19" s="7">
        <f>H19-I19</f>
      </c>
      <c r="K19" s="8">
        <f>IFERROR(J19/H19,0)</f>
      </c>
    </row>
    <row customHeight="true" ht="15" r="20">
      <c r="A20" s="9" t="s">
        <v>81</v>
      </c>
      <c r="B20" s="10">
        <v>45461</v>
      </c>
      <c r="C20" s="11" t="s">
        <v>82</v>
      </c>
      <c r="D20" s="11" t="s">
        <v>83</v>
      </c>
      <c r="E20" s="11" t="s">
        <v>84</v>
      </c>
      <c r="F20" s="12">
        <v>3</v>
      </c>
      <c r="G20" s="13">
        <v>1531.4</v>
      </c>
      <c r="H20" s="13">
        <f>F20*G20</f>
      </c>
      <c r="I20" s="13">
        <f>H20*0.38</f>
      </c>
      <c r="J20" s="13">
        <f>H20-I20</f>
      </c>
      <c r="K20" s="14">
        <f>IFERROR(J20/H20,0)</f>
      </c>
    </row>
    <row customHeight="true" ht="15" r="21">
      <c r="A21" s="3" t="s">
        <v>85</v>
      </c>
      <c r="B21" s="4">
        <v>45478</v>
      </c>
      <c r="C21" s="5" t="s">
        <v>86</v>
      </c>
      <c r="D21" s="5" t="s">
        <v>87</v>
      </c>
      <c r="E21" s="5" t="s">
        <v>88</v>
      </c>
      <c r="F21" s="6">
        <v>8</v>
      </c>
      <c r="G21" s="7">
        <v>873.05</v>
      </c>
      <c r="H21" s="7">
        <f>F21*G21</f>
      </c>
      <c r="I21" s="7">
        <f>H21*0.44</f>
      </c>
      <c r="J21" s="7">
        <f>H21-I21</f>
      </c>
      <c r="K21" s="8">
        <f>IFERROR(J21/H21,0)</f>
      </c>
    </row>
    <row customHeight="true" ht="15" r="22">
      <c r="A22" s="9" t="s">
        <v>89</v>
      </c>
      <c r="B22" s="10">
        <v>45566</v>
      </c>
      <c r="C22" s="11" t="s">
        <v>90</v>
      </c>
      <c r="D22" s="11" t="s">
        <v>91</v>
      </c>
      <c r="E22" s="11" t="s">
        <v>92</v>
      </c>
      <c r="F22" s="12">
        <v>8</v>
      </c>
      <c r="G22" s="13">
        <v>4180.37</v>
      </c>
      <c r="H22" s="13">
        <f>F22*G22</f>
      </c>
      <c r="I22" s="13">
        <f>H22*0.48</f>
      </c>
      <c r="J22" s="13">
        <f>H22-I22</f>
      </c>
      <c r="K22" s="14">
        <f>IFERROR(J22/H22,0)</f>
      </c>
    </row>
    <row customHeight="true" ht="15" r="23">
      <c r="A23" s="3" t="s">
        <v>93</v>
      </c>
      <c r="B23" s="4">
        <v>45547</v>
      </c>
      <c r="C23" s="5" t="s">
        <v>94</v>
      </c>
      <c r="D23" s="5" t="s">
        <v>95</v>
      </c>
      <c r="E23" s="5" t="s">
        <v>96</v>
      </c>
      <c r="F23" s="6">
        <v>9</v>
      </c>
      <c r="G23" s="7">
        <v>127.92</v>
      </c>
      <c r="H23" s="7">
        <f>F23*G23</f>
      </c>
      <c r="I23" s="7">
        <f>H23*0.33</f>
      </c>
      <c r="J23" s="7">
        <f>H23-I23</f>
      </c>
      <c r="K23" s="8">
        <f>IFERROR(J23/H23,0)</f>
      </c>
    </row>
    <row customHeight="true" ht="15" r="24">
      <c r="A24" s="9" t="s">
        <v>97</v>
      </c>
      <c r="B24" s="10">
        <v>45483</v>
      </c>
      <c r="C24" s="11" t="s">
        <v>98</v>
      </c>
      <c r="D24" s="11" t="s">
        <v>99</v>
      </c>
      <c r="E24" s="11" t="s">
        <v>100</v>
      </c>
      <c r="F24" s="12">
        <v>4</v>
      </c>
      <c r="G24" s="13">
        <v>1194.65</v>
      </c>
      <c r="H24" s="13">
        <f>F24*G24</f>
      </c>
      <c r="I24" s="13">
        <f>H24*0.58</f>
      </c>
      <c r="J24" s="13">
        <f>H24-I24</f>
      </c>
      <c r="K24" s="14">
        <f>IFERROR(J24/H24,0)</f>
      </c>
    </row>
    <row customHeight="true" ht="15" r="25">
      <c r="A25" s="3" t="s">
        <v>101</v>
      </c>
      <c r="B25" s="4">
        <v>45641</v>
      </c>
      <c r="C25" s="5" t="s">
        <v>102</v>
      </c>
      <c r="D25" s="5" t="s">
        <v>103</v>
      </c>
      <c r="E25" s="5" t="s">
        <v>104</v>
      </c>
      <c r="F25" s="6">
        <v>7</v>
      </c>
      <c r="G25" s="7">
        <v>3730.78</v>
      </c>
      <c r="H25" s="7">
        <f>F25*G25</f>
      </c>
      <c r="I25" s="7">
        <f>H25*0.31</f>
      </c>
      <c r="J25" s="7">
        <f>H25-I25</f>
      </c>
      <c r="K25" s="8">
        <f>IFERROR(J25/H25,0)</f>
      </c>
    </row>
    <row customHeight="true" ht="15" r="26">
      <c r="A26" s="9" t="s">
        <v>105</v>
      </c>
      <c r="B26" s="10">
        <v>45314</v>
      </c>
      <c r="C26" s="11" t="s">
        <v>106</v>
      </c>
      <c r="D26" s="11" t="s">
        <v>107</v>
      </c>
      <c r="E26" s="11" t="s">
        <v>108</v>
      </c>
      <c r="F26" s="12">
        <v>10</v>
      </c>
      <c r="G26" s="13">
        <v>3708.02</v>
      </c>
      <c r="H26" s="13">
        <f>F26*G26</f>
      </c>
      <c r="I26" s="13">
        <f>H26*0.49</f>
      </c>
      <c r="J26" s="13">
        <f>H26-I26</f>
      </c>
      <c r="K26" s="14">
        <f>IFERROR(J26/H26,0)</f>
      </c>
    </row>
    <row customHeight="true" ht="15" r="27">
      <c r="A27" s="3" t="s">
        <v>109</v>
      </c>
      <c r="B27" s="4">
        <v>45586</v>
      </c>
      <c r="C27" s="5" t="s">
        <v>110</v>
      </c>
      <c r="D27" s="5" t="s">
        <v>111</v>
      </c>
      <c r="E27" s="5" t="s">
        <v>112</v>
      </c>
      <c r="F27" s="6">
        <v>10</v>
      </c>
      <c r="G27" s="7">
        <v>4168.12</v>
      </c>
      <c r="H27" s="7">
        <f>F27*G27</f>
      </c>
      <c r="I27" s="7">
        <f>H27*0.46</f>
      </c>
      <c r="J27" s="7">
        <f>H27-I27</f>
      </c>
      <c r="K27" s="8">
        <f>IFERROR(J27/H27,0)</f>
      </c>
    </row>
    <row customHeight="true" ht="15" r="28">
      <c r="A28" s="9" t="s">
        <v>113</v>
      </c>
      <c r="B28" s="10">
        <v>45340</v>
      </c>
      <c r="C28" s="11" t="s">
        <v>114</v>
      </c>
      <c r="D28" s="11" t="s">
        <v>115</v>
      </c>
      <c r="E28" s="11" t="s">
        <v>116</v>
      </c>
      <c r="F28" s="12">
        <v>4</v>
      </c>
      <c r="G28" s="13">
        <v>4143.81</v>
      </c>
      <c r="H28" s="13">
        <f>F28*G28</f>
      </c>
      <c r="I28" s="13">
        <f>H28*0.46</f>
      </c>
      <c r="J28" s="13">
        <f>H28-I28</f>
      </c>
      <c r="K28" s="14">
        <f>IFERROR(J28/H28,0)</f>
      </c>
    </row>
    <row customHeight="true" ht="15" r="29">
      <c r="A29" s="3" t="s">
        <v>117</v>
      </c>
      <c r="B29" s="4">
        <v>45544</v>
      </c>
      <c r="C29" s="5" t="s">
        <v>118</v>
      </c>
      <c r="D29" s="5" t="s">
        <v>119</v>
      </c>
      <c r="E29" s="5" t="s">
        <v>120</v>
      </c>
      <c r="F29" s="6">
        <v>8</v>
      </c>
      <c r="G29" s="7">
        <v>1419.36</v>
      </c>
      <c r="H29" s="7">
        <f>F29*G29</f>
      </c>
      <c r="I29" s="7">
        <f>H29*0.45</f>
      </c>
      <c r="J29" s="7">
        <f>H29-I29</f>
      </c>
      <c r="K29" s="8">
        <f>IFERROR(J29/H29,0)</f>
      </c>
    </row>
    <row customHeight="true" ht="15" r="30">
      <c r="A30" s="9" t="s">
        <v>121</v>
      </c>
      <c r="B30" s="10">
        <v>45657</v>
      </c>
      <c r="C30" s="11" t="s">
        <v>122</v>
      </c>
      <c r="D30" s="11" t="s">
        <v>123</v>
      </c>
      <c r="E30" s="11" t="s">
        <v>124</v>
      </c>
      <c r="F30" s="12">
        <v>1</v>
      </c>
      <c r="G30" s="13">
        <v>865.32</v>
      </c>
      <c r="H30" s="13">
        <f>F30*G30</f>
      </c>
      <c r="I30" s="13">
        <f>H30*0.46</f>
      </c>
      <c r="J30" s="13">
        <f>H30-I30</f>
      </c>
      <c r="K30" s="14">
        <f>IFERROR(J30/H30,0)</f>
      </c>
    </row>
    <row customHeight="true" ht="15" r="31">
      <c r="A31" s="3" t="s">
        <v>125</v>
      </c>
      <c r="B31" s="4">
        <v>45450</v>
      </c>
      <c r="C31" s="5" t="s">
        <v>126</v>
      </c>
      <c r="D31" s="5" t="s">
        <v>127</v>
      </c>
      <c r="E31" s="5" t="s">
        <v>128</v>
      </c>
      <c r="F31" s="6">
        <v>4</v>
      </c>
      <c r="G31" s="7">
        <v>3452.79</v>
      </c>
      <c r="H31" s="7">
        <f>F31*G31</f>
      </c>
      <c r="I31" s="7">
        <f>H31*0.7</f>
      </c>
      <c r="J31" s="7">
        <f>H31-I31</f>
      </c>
      <c r="K31" s="8">
        <f>IFERROR(J31/H31,0)</f>
      </c>
    </row>
    <row customHeight="true" ht="15" r="32">
      <c r="A32" s="9" t="s">
        <v>129</v>
      </c>
      <c r="B32" s="10">
        <v>45406</v>
      </c>
      <c r="C32" s="11" t="s">
        <v>130</v>
      </c>
      <c r="D32" s="11" t="s">
        <v>131</v>
      </c>
      <c r="E32" s="11" t="s">
        <v>132</v>
      </c>
      <c r="F32" s="12">
        <v>3</v>
      </c>
      <c r="G32" s="13">
        <v>4684.88</v>
      </c>
      <c r="H32" s="13">
        <f>F32*G32</f>
      </c>
      <c r="I32" s="13">
        <f>H32*0.57</f>
      </c>
      <c r="J32" s="13">
        <f>H32-I32</f>
      </c>
      <c r="K32" s="14">
        <f>IFERROR(J32/H32,0)</f>
      </c>
    </row>
    <row customHeight="true" ht="15" r="33">
      <c r="A33" s="3" t="s">
        <v>133</v>
      </c>
      <c r="B33" s="4">
        <v>45445</v>
      </c>
      <c r="C33" s="5" t="s">
        <v>134</v>
      </c>
      <c r="D33" s="5" t="s">
        <v>135</v>
      </c>
      <c r="E33" s="5" t="s">
        <v>136</v>
      </c>
      <c r="F33" s="6">
        <v>3</v>
      </c>
      <c r="G33" s="7">
        <v>1514.8</v>
      </c>
      <c r="H33" s="7">
        <f>F33*G33</f>
      </c>
      <c r="I33" s="7">
        <f>H33*0.51</f>
      </c>
      <c r="J33" s="7">
        <f>H33-I33</f>
      </c>
      <c r="K33" s="8">
        <f>IFERROR(J33/H33,0)</f>
      </c>
    </row>
    <row customHeight="true" ht="15" r="34">
      <c r="A34" s="9" t="s">
        <v>137</v>
      </c>
      <c r="B34" s="10">
        <v>45321</v>
      </c>
      <c r="C34" s="11" t="s">
        <v>138</v>
      </c>
      <c r="D34" s="11" t="s">
        <v>139</v>
      </c>
      <c r="E34" s="11" t="s">
        <v>140</v>
      </c>
      <c r="F34" s="12">
        <v>5</v>
      </c>
      <c r="G34" s="13">
        <v>2455.55</v>
      </c>
      <c r="H34" s="13">
        <f>F34*G34</f>
      </c>
      <c r="I34" s="13">
        <f>H34*0.49</f>
      </c>
      <c r="J34" s="13">
        <f>H34-I34</f>
      </c>
      <c r="K34" s="14">
        <f>IFERROR(J34/H34,0)</f>
      </c>
    </row>
    <row customHeight="true" ht="15" r="35">
      <c r="A35" s="3" t="s">
        <v>141</v>
      </c>
      <c r="B35" s="4">
        <v>45638</v>
      </c>
      <c r="C35" s="5" t="s">
        <v>142</v>
      </c>
      <c r="D35" s="5" t="s">
        <v>143</v>
      </c>
      <c r="E35" s="5" t="s">
        <v>144</v>
      </c>
      <c r="F35" s="6">
        <v>8</v>
      </c>
      <c r="G35" s="7">
        <v>732.56</v>
      </c>
      <c r="H35" s="7">
        <f>F35*G35</f>
      </c>
      <c r="I35" s="7">
        <f>H35*0.4</f>
      </c>
      <c r="J35" s="7">
        <f>H35-I35</f>
      </c>
      <c r="K35" s="8">
        <f>IFERROR(J35/H35,0)</f>
      </c>
    </row>
    <row customHeight="true" ht="15" r="36">
      <c r="A36" s="9" t="s">
        <v>145</v>
      </c>
      <c r="B36" s="10">
        <v>45528</v>
      </c>
      <c r="C36" s="11" t="s">
        <v>146</v>
      </c>
      <c r="D36" s="11" t="s">
        <v>147</v>
      </c>
      <c r="E36" s="11" t="s">
        <v>148</v>
      </c>
      <c r="F36" s="12">
        <v>5</v>
      </c>
      <c r="G36" s="13">
        <v>1182.88</v>
      </c>
      <c r="H36" s="13">
        <f>F36*G36</f>
      </c>
      <c r="I36" s="13">
        <f>H36*0.54</f>
      </c>
      <c r="J36" s="13">
        <f>H36-I36</f>
      </c>
      <c r="K36" s="14">
        <f>IFERROR(J36/H36,0)</f>
      </c>
    </row>
    <row customHeight="true" ht="15" r="37">
      <c r="A37" s="3" t="s">
        <v>149</v>
      </c>
      <c r="B37" s="4">
        <v>45408</v>
      </c>
      <c r="C37" s="5" t="s">
        <v>150</v>
      </c>
      <c r="D37" s="5" t="s">
        <v>151</v>
      </c>
      <c r="E37" s="5" t="s">
        <v>152</v>
      </c>
      <c r="F37" s="6">
        <v>10</v>
      </c>
      <c r="G37" s="7">
        <v>3775.82</v>
      </c>
      <c r="H37" s="7">
        <f>F37*G37</f>
      </c>
      <c r="I37" s="7">
        <f>H37*0.42</f>
      </c>
      <c r="J37" s="7">
        <f>H37-I37</f>
      </c>
      <c r="K37" s="8">
        <f>IFERROR(J37/H37,0)</f>
      </c>
    </row>
    <row customHeight="true" ht="15" r="38">
      <c r="A38" s="9" t="s">
        <v>153</v>
      </c>
      <c r="B38" s="10">
        <v>45407</v>
      </c>
      <c r="C38" s="11" t="s">
        <v>154</v>
      </c>
      <c r="D38" s="11" t="s">
        <v>155</v>
      </c>
      <c r="E38" s="11" t="s">
        <v>156</v>
      </c>
      <c r="F38" s="12">
        <v>4</v>
      </c>
      <c r="G38" s="13">
        <v>4450.29</v>
      </c>
      <c r="H38" s="13">
        <f>F38*G38</f>
      </c>
      <c r="I38" s="13">
        <f>H38*0.31</f>
      </c>
      <c r="J38" s="13">
        <f>H38-I38</f>
      </c>
      <c r="K38" s="14">
        <f>IFERROR(J38/H38,0)</f>
      </c>
    </row>
    <row customHeight="true" ht="15" r="39">
      <c r="A39" s="3" t="s">
        <v>157</v>
      </c>
      <c r="B39" s="4">
        <v>45406</v>
      </c>
      <c r="C39" s="5" t="s">
        <v>158</v>
      </c>
      <c r="D39" s="5" t="s">
        <v>159</v>
      </c>
      <c r="E39" s="5" t="s">
        <v>160</v>
      </c>
      <c r="F39" s="6">
        <v>7</v>
      </c>
      <c r="G39" s="7">
        <v>3445.62</v>
      </c>
      <c r="H39" s="7">
        <f>F39*G39</f>
      </c>
      <c r="I39" s="7">
        <f>H39*0.4</f>
      </c>
      <c r="J39" s="7">
        <f>H39-I39</f>
      </c>
      <c r="K39" s="8">
        <f>IFERROR(J39/H39,0)</f>
      </c>
    </row>
    <row customHeight="true" ht="15" r="40">
      <c r="A40" s="9" t="s">
        <v>161</v>
      </c>
      <c r="B40" s="10">
        <v>45485</v>
      </c>
      <c r="C40" s="11" t="s">
        <v>162</v>
      </c>
      <c r="D40" s="11" t="s">
        <v>163</v>
      </c>
      <c r="E40" s="11" t="s">
        <v>164</v>
      </c>
      <c r="F40" s="12">
        <v>2</v>
      </c>
      <c r="G40" s="13">
        <v>479.14</v>
      </c>
      <c r="H40" s="13">
        <f>F40*G40</f>
      </c>
      <c r="I40" s="13">
        <f>H40*0.44</f>
      </c>
      <c r="J40" s="13">
        <f>H40-I40</f>
      </c>
      <c r="K40" s="14">
        <f>IFERROR(J40/H40,0)</f>
      </c>
    </row>
    <row customHeight="true" ht="15" r="41">
      <c r="A41" s="3" t="s">
        <v>165</v>
      </c>
      <c r="B41" s="4">
        <v>45343</v>
      </c>
      <c r="C41" s="5" t="s">
        <v>166</v>
      </c>
      <c r="D41" s="5" t="s">
        <v>167</v>
      </c>
      <c r="E41" s="5" t="s">
        <v>168</v>
      </c>
      <c r="F41" s="6">
        <v>8</v>
      </c>
      <c r="G41" s="7">
        <v>34.48</v>
      </c>
      <c r="H41" s="7">
        <f>F41*G41</f>
      </c>
      <c r="I41" s="7">
        <f>H41*0.5</f>
      </c>
      <c r="J41" s="7">
        <f>H41-I41</f>
      </c>
      <c r="K41" s="8">
        <f>IFERROR(J41/H41,0)</f>
      </c>
    </row>
    <row customHeight="true" ht="15" r="42">
      <c r="A42" s="9" t="s">
        <v>169</v>
      </c>
      <c r="B42" s="10">
        <v>45640</v>
      </c>
      <c r="C42" s="11" t="s">
        <v>170</v>
      </c>
      <c r="D42" s="11" t="s">
        <v>171</v>
      </c>
      <c r="E42" s="11" t="s">
        <v>172</v>
      </c>
      <c r="F42" s="12">
        <v>3</v>
      </c>
      <c r="G42" s="13">
        <v>4372.16</v>
      </c>
      <c r="H42" s="13">
        <f>F42*G42</f>
      </c>
      <c r="I42" s="13">
        <f>H42*0.41</f>
      </c>
      <c r="J42" s="13">
        <f>H42-I42</f>
      </c>
      <c r="K42" s="14">
        <f>IFERROR(J42/H42,0)</f>
      </c>
    </row>
    <row customHeight="true" ht="15" r="43">
      <c r="A43" s="3" t="s">
        <v>173</v>
      </c>
      <c r="B43" s="4">
        <v>45505</v>
      </c>
      <c r="C43" s="5" t="s">
        <v>174</v>
      </c>
      <c r="D43" s="5" t="s">
        <v>175</v>
      </c>
      <c r="E43" s="5" t="s">
        <v>176</v>
      </c>
      <c r="F43" s="6">
        <v>2</v>
      </c>
      <c r="G43" s="7">
        <v>4296.81</v>
      </c>
      <c r="H43" s="7">
        <f>F43*G43</f>
      </c>
      <c r="I43" s="7">
        <f>H43*0.36</f>
      </c>
      <c r="J43" s="7">
        <f>H43-I43</f>
      </c>
      <c r="K43" s="8">
        <f>IFERROR(J43/H43,0)</f>
      </c>
    </row>
    <row customHeight="true" ht="15" r="44">
      <c r="A44" s="9" t="s">
        <v>177</v>
      </c>
      <c r="B44" s="10">
        <v>45440</v>
      </c>
      <c r="C44" s="11" t="s">
        <v>178</v>
      </c>
      <c r="D44" s="11" t="s">
        <v>179</v>
      </c>
      <c r="E44" s="11" t="s">
        <v>180</v>
      </c>
      <c r="F44" s="12">
        <v>4</v>
      </c>
      <c r="G44" s="13">
        <v>681.79</v>
      </c>
      <c r="H44" s="13">
        <f>F44*G44</f>
      </c>
      <c r="I44" s="13">
        <f>H44*0.31</f>
      </c>
      <c r="J44" s="13">
        <f>H44-I44</f>
      </c>
      <c r="K44" s="14">
        <f>IFERROR(J44/H44,0)</f>
      </c>
    </row>
    <row customHeight="true" ht="15" r="45">
      <c r="A45" s="3" t="s">
        <v>181</v>
      </c>
      <c r="B45" s="4">
        <v>45619</v>
      </c>
      <c r="C45" s="5" t="s">
        <v>182</v>
      </c>
      <c r="D45" s="5" t="s">
        <v>183</v>
      </c>
      <c r="E45" s="5" t="s">
        <v>184</v>
      </c>
      <c r="F45" s="6">
        <v>1</v>
      </c>
      <c r="G45" s="7">
        <v>4827.77</v>
      </c>
      <c r="H45" s="7">
        <f>F45*G45</f>
      </c>
      <c r="I45" s="7">
        <f>H45*0.56</f>
      </c>
      <c r="J45" s="7">
        <f>H45-I45</f>
      </c>
      <c r="K45" s="8">
        <f>IFERROR(J45/H45,0)</f>
      </c>
    </row>
    <row customHeight="true" ht="15" r="46">
      <c r="A46" s="9" t="s">
        <v>185</v>
      </c>
      <c r="B46" s="10">
        <v>45311</v>
      </c>
      <c r="C46" s="11" t="s">
        <v>186</v>
      </c>
      <c r="D46" s="11" t="s">
        <v>187</v>
      </c>
      <c r="E46" s="11" t="s">
        <v>188</v>
      </c>
      <c r="F46" s="12">
        <v>8</v>
      </c>
      <c r="G46" s="13">
        <v>3379.17</v>
      </c>
      <c r="H46" s="13">
        <f>F46*G46</f>
      </c>
      <c r="I46" s="13">
        <f>H46*0.53</f>
      </c>
      <c r="J46" s="13">
        <f>H46-I46</f>
      </c>
      <c r="K46" s="14">
        <f>IFERROR(J46/H46,0)</f>
      </c>
    </row>
    <row customHeight="true" ht="15" r="47">
      <c r="A47" s="3" t="s">
        <v>189</v>
      </c>
      <c r="B47" s="4">
        <v>45514</v>
      </c>
      <c r="C47" s="5" t="s">
        <v>190</v>
      </c>
      <c r="D47" s="5" t="s">
        <v>191</v>
      </c>
      <c r="E47" s="5" t="s">
        <v>192</v>
      </c>
      <c r="F47" s="6">
        <v>10</v>
      </c>
      <c r="G47" s="7">
        <v>2723.7</v>
      </c>
      <c r="H47" s="7">
        <f>F47*G47</f>
      </c>
      <c r="I47" s="7">
        <f>H47*0.46</f>
      </c>
      <c r="J47" s="7">
        <f>H47-I47</f>
      </c>
      <c r="K47" s="8">
        <f>IFERROR(J47/H47,0)</f>
      </c>
    </row>
    <row customHeight="true" ht="15" r="48">
      <c r="A48" s="9" t="s">
        <v>193</v>
      </c>
      <c r="B48" s="10">
        <v>45625</v>
      </c>
      <c r="C48" s="11" t="s">
        <v>194</v>
      </c>
      <c r="D48" s="11" t="s">
        <v>195</v>
      </c>
      <c r="E48" s="11" t="s">
        <v>196</v>
      </c>
      <c r="F48" s="12">
        <v>6</v>
      </c>
      <c r="G48" s="13">
        <v>3753.37</v>
      </c>
      <c r="H48" s="13">
        <f>F48*G48</f>
      </c>
      <c r="I48" s="13">
        <f>H48*0.65</f>
      </c>
      <c r="J48" s="13">
        <f>H48-I48</f>
      </c>
      <c r="K48" s="14">
        <f>IFERROR(J48/H48,0)</f>
      </c>
    </row>
    <row customHeight="true" ht="15" r="49">
      <c r="A49" s="3" t="s">
        <v>197</v>
      </c>
      <c r="B49" s="4">
        <v>45521</v>
      </c>
      <c r="C49" s="5" t="s">
        <v>198</v>
      </c>
      <c r="D49" s="5" t="s">
        <v>199</v>
      </c>
      <c r="E49" s="5" t="s">
        <v>200</v>
      </c>
      <c r="F49" s="6">
        <v>10</v>
      </c>
      <c r="G49" s="7">
        <v>3861.02</v>
      </c>
      <c r="H49" s="7">
        <f>F49*G49</f>
      </c>
      <c r="I49" s="7">
        <f>H49*0.38</f>
      </c>
      <c r="J49" s="7">
        <f>H49-I49</f>
      </c>
      <c r="K49" s="8">
        <f>IFERROR(J49/H49,0)</f>
      </c>
    </row>
    <row customHeight="true" ht="15" r="50">
      <c r="A50" s="9" t="s">
        <v>201</v>
      </c>
      <c r="B50" s="10">
        <v>45294</v>
      </c>
      <c r="C50" s="11" t="s">
        <v>202</v>
      </c>
      <c r="D50" s="11" t="s">
        <v>203</v>
      </c>
      <c r="E50" s="11" t="s">
        <v>204</v>
      </c>
      <c r="F50" s="12">
        <v>4</v>
      </c>
      <c r="G50" s="13">
        <v>767.15</v>
      </c>
      <c r="H50" s="13">
        <f>F50*G50</f>
      </c>
      <c r="I50" s="13">
        <f>H50*0.4</f>
      </c>
      <c r="J50" s="13">
        <f>H50-I50</f>
      </c>
      <c r="K50" s="14">
        <f>IFERROR(J50/H50,0)</f>
      </c>
    </row>
    <row customHeight="true" ht="15" r="51">
      <c r="A51" s="3" t="s">
        <v>205</v>
      </c>
      <c r="B51" s="4">
        <v>45293</v>
      </c>
      <c r="C51" s="5" t="s">
        <v>206</v>
      </c>
      <c r="D51" s="5" t="s">
        <v>207</v>
      </c>
      <c r="E51" s="5" t="s">
        <v>208</v>
      </c>
      <c r="F51" s="6">
        <v>6</v>
      </c>
      <c r="G51" s="7">
        <v>1080.46</v>
      </c>
      <c r="H51" s="7">
        <f>F51*G51</f>
      </c>
      <c r="I51" s="7">
        <f>H51*0.66</f>
      </c>
      <c r="J51" s="7">
        <f>H51-I51</f>
      </c>
      <c r="K51" s="8">
        <f>IFERROR(J51/H51,0)</f>
      </c>
    </row>
    <row customHeight="true" ht="15" r="52">
      <c r="A52" s="9" t="s">
        <v>209</v>
      </c>
      <c r="B52" s="10">
        <v>45449</v>
      </c>
      <c r="C52" s="11" t="s">
        <v>210</v>
      </c>
      <c r="D52" s="11" t="s">
        <v>211</v>
      </c>
      <c r="E52" s="11" t="s">
        <v>212</v>
      </c>
      <c r="F52" s="12">
        <v>4</v>
      </c>
      <c r="G52" s="13">
        <v>3808.95</v>
      </c>
      <c r="H52" s="13">
        <f>F52*G52</f>
      </c>
      <c r="I52" s="13">
        <f>H52*0.68</f>
      </c>
      <c r="J52" s="13">
        <f>H52-I52</f>
      </c>
      <c r="K52" s="14">
        <f>IFERROR(J52/H52,0)</f>
      </c>
    </row>
    <row customHeight="true" ht="15" r="53">
      <c r="A53" s="3" t="s">
        <v>213</v>
      </c>
      <c r="B53" s="4">
        <v>45362</v>
      </c>
      <c r="C53" s="5" t="s">
        <v>214</v>
      </c>
      <c r="D53" s="5" t="s">
        <v>215</v>
      </c>
      <c r="E53" s="5" t="s">
        <v>216</v>
      </c>
      <c r="F53" s="6">
        <v>10</v>
      </c>
      <c r="G53" s="7">
        <v>3072.08</v>
      </c>
      <c r="H53" s="7">
        <f>F53*G53</f>
      </c>
      <c r="I53" s="7">
        <f>H53*0.69</f>
      </c>
      <c r="J53" s="7">
        <f>H53-I53</f>
      </c>
      <c r="K53" s="8">
        <f>IFERROR(J53/H53,0)</f>
      </c>
    </row>
    <row customHeight="true" ht="15" r="54">
      <c r="A54" s="9" t="s">
        <v>217</v>
      </c>
      <c r="B54" s="10">
        <v>45372</v>
      </c>
      <c r="C54" s="11" t="s">
        <v>218</v>
      </c>
      <c r="D54" s="11" t="s">
        <v>219</v>
      </c>
      <c r="E54" s="11" t="s">
        <v>220</v>
      </c>
      <c r="F54" s="12">
        <v>7</v>
      </c>
      <c r="G54" s="13">
        <v>171.1</v>
      </c>
      <c r="H54" s="13">
        <f>F54*G54</f>
      </c>
      <c r="I54" s="13">
        <f>H54*0.32</f>
      </c>
      <c r="J54" s="13">
        <f>H54-I54</f>
      </c>
      <c r="K54" s="14">
        <f>IFERROR(J54/H54,0)</f>
      </c>
    </row>
    <row customHeight="true" ht="15" r="55">
      <c r="A55" s="3" t="s">
        <v>221</v>
      </c>
      <c r="B55" s="4">
        <v>45482</v>
      </c>
      <c r="C55" s="5" t="s">
        <v>222</v>
      </c>
      <c r="D55" s="5" t="s">
        <v>223</v>
      </c>
      <c r="E55" s="5" t="s">
        <v>224</v>
      </c>
      <c r="F55" s="6">
        <v>1</v>
      </c>
      <c r="G55" s="7">
        <v>1442.74</v>
      </c>
      <c r="H55" s="7">
        <f>F55*G55</f>
      </c>
      <c r="I55" s="7">
        <f>H55*0.6</f>
      </c>
      <c r="J55" s="7">
        <f>H55-I55</f>
      </c>
      <c r="K55" s="8">
        <f>IFERROR(J55/H55,0)</f>
      </c>
    </row>
    <row customHeight="true" ht="15" r="56">
      <c r="A56" s="9" t="s">
        <v>225</v>
      </c>
      <c r="B56" s="10">
        <v>45505</v>
      </c>
      <c r="C56" s="11" t="s">
        <v>226</v>
      </c>
      <c r="D56" s="11" t="s">
        <v>227</v>
      </c>
      <c r="E56" s="11" t="s">
        <v>228</v>
      </c>
      <c r="F56" s="12">
        <v>7</v>
      </c>
      <c r="G56" s="13">
        <v>146.21</v>
      </c>
      <c r="H56" s="13">
        <f>F56*G56</f>
      </c>
      <c r="I56" s="13">
        <f>H56*0.52</f>
      </c>
      <c r="J56" s="13">
        <f>H56-I56</f>
      </c>
      <c r="K56" s="14">
        <f>IFERROR(J56/H56,0)</f>
      </c>
    </row>
    <row customHeight="true" ht="15" r="57">
      <c r="A57" s="3" t="s">
        <v>229</v>
      </c>
      <c r="B57" s="4">
        <v>45358</v>
      </c>
      <c r="C57" s="5" t="s">
        <v>230</v>
      </c>
      <c r="D57" s="5" t="s">
        <v>231</v>
      </c>
      <c r="E57" s="5" t="s">
        <v>232</v>
      </c>
      <c r="F57" s="6">
        <v>2</v>
      </c>
      <c r="G57" s="7">
        <v>999.86</v>
      </c>
      <c r="H57" s="7">
        <f>F57*G57</f>
      </c>
      <c r="I57" s="7">
        <f>H57*0.67</f>
      </c>
      <c r="J57" s="7">
        <f>H57-I57</f>
      </c>
      <c r="K57" s="8">
        <f>IFERROR(J57/H57,0)</f>
      </c>
    </row>
    <row customHeight="true" ht="15" r="58">
      <c r="A58" s="9" t="s">
        <v>233</v>
      </c>
      <c r="B58" s="10">
        <v>45362</v>
      </c>
      <c r="C58" s="11" t="s">
        <v>234</v>
      </c>
      <c r="D58" s="11" t="s">
        <v>235</v>
      </c>
      <c r="E58" s="11" t="s">
        <v>236</v>
      </c>
      <c r="F58" s="12">
        <v>4</v>
      </c>
      <c r="G58" s="13">
        <v>982.56</v>
      </c>
      <c r="H58" s="13">
        <f>F58*G58</f>
      </c>
      <c r="I58" s="13">
        <f>H58*0.46</f>
      </c>
      <c r="J58" s="13">
        <f>H58-I58</f>
      </c>
      <c r="K58" s="14">
        <f>IFERROR(J58/H58,0)</f>
      </c>
    </row>
    <row customHeight="true" ht="15" r="59">
      <c r="A59" s="3" t="s">
        <v>237</v>
      </c>
      <c r="B59" s="4">
        <v>45317</v>
      </c>
      <c r="C59" s="5" t="s">
        <v>238</v>
      </c>
      <c r="D59" s="5" t="s">
        <v>239</v>
      </c>
      <c r="E59" s="5" t="s">
        <v>240</v>
      </c>
      <c r="F59" s="6">
        <v>10</v>
      </c>
      <c r="G59" s="7">
        <v>732.04</v>
      </c>
      <c r="H59" s="7">
        <f>F59*G59</f>
      </c>
      <c r="I59" s="7">
        <f>H59*0.44</f>
      </c>
      <c r="J59" s="7">
        <f>H59-I59</f>
      </c>
      <c r="K59" s="8">
        <f>IFERROR(J59/H59,0)</f>
      </c>
    </row>
    <row customHeight="true" ht="15" r="60">
      <c r="A60" s="9" t="s">
        <v>241</v>
      </c>
      <c r="B60" s="10">
        <v>45372</v>
      </c>
      <c r="C60" s="11" t="s">
        <v>242</v>
      </c>
      <c r="D60" s="11" t="s">
        <v>243</v>
      </c>
      <c r="E60" s="11" t="s">
        <v>244</v>
      </c>
      <c r="F60" s="12">
        <v>8</v>
      </c>
      <c r="G60" s="13">
        <v>641.13</v>
      </c>
      <c r="H60" s="13">
        <f>F60*G60</f>
      </c>
      <c r="I60" s="13">
        <f>H60*0.35</f>
      </c>
      <c r="J60" s="13">
        <f>H60-I60</f>
      </c>
      <c r="K60" s="14">
        <f>IFERROR(J60/H60,0)</f>
      </c>
    </row>
    <row customHeight="true" ht="15" r="61">
      <c r="A61" s="3" t="s">
        <v>245</v>
      </c>
      <c r="B61" s="4">
        <v>45616</v>
      </c>
      <c r="C61" s="5" t="s">
        <v>246</v>
      </c>
      <c r="D61" s="5" t="s">
        <v>247</v>
      </c>
      <c r="E61" s="5" t="s">
        <v>248</v>
      </c>
      <c r="F61" s="6">
        <v>6</v>
      </c>
      <c r="G61" s="7">
        <v>2438.23</v>
      </c>
      <c r="H61" s="7">
        <f>F61*G61</f>
      </c>
      <c r="I61" s="7">
        <f>H61*0.62</f>
      </c>
      <c r="J61" s="7">
        <f>H61-I61</f>
      </c>
      <c r="K61" s="8">
        <f>IFERROR(J61/H61,0)</f>
      </c>
    </row>
    <row customHeight="true" ht="15" r="62">
      <c r="A62" s="9" t="s">
        <v>249</v>
      </c>
      <c r="B62" s="10">
        <v>45453</v>
      </c>
      <c r="C62" s="11" t="s">
        <v>250</v>
      </c>
      <c r="D62" s="11" t="s">
        <v>251</v>
      </c>
      <c r="E62" s="11" t="s">
        <v>252</v>
      </c>
      <c r="F62" s="12">
        <v>6</v>
      </c>
      <c r="G62" s="13">
        <v>2065.34</v>
      </c>
      <c r="H62" s="13">
        <f>F62*G62</f>
      </c>
      <c r="I62" s="13">
        <f>H62*0.38</f>
      </c>
      <c r="J62" s="13">
        <f>H62-I62</f>
      </c>
      <c r="K62" s="14">
        <f>IFERROR(J62/H62,0)</f>
      </c>
    </row>
    <row customHeight="true" ht="15" r="63">
      <c r="A63" s="3" t="s">
        <v>253</v>
      </c>
      <c r="B63" s="4">
        <v>45443</v>
      </c>
      <c r="C63" s="5" t="s">
        <v>254</v>
      </c>
      <c r="D63" s="5" t="s">
        <v>255</v>
      </c>
      <c r="E63" s="5" t="s">
        <v>256</v>
      </c>
      <c r="F63" s="6">
        <v>1</v>
      </c>
      <c r="G63" s="7">
        <v>429.87</v>
      </c>
      <c r="H63" s="7">
        <f>F63*G63</f>
      </c>
      <c r="I63" s="7">
        <f>H63*0.36</f>
      </c>
      <c r="J63" s="7">
        <f>H63-I63</f>
      </c>
      <c r="K63" s="8">
        <f>IFERROR(J63/H63,0)</f>
      </c>
    </row>
    <row customHeight="true" ht="15" r="64">
      <c r="A64" s="9" t="s">
        <v>257</v>
      </c>
      <c r="B64" s="10">
        <v>45372</v>
      </c>
      <c r="C64" s="11" t="s">
        <v>258</v>
      </c>
      <c r="D64" s="11" t="s">
        <v>259</v>
      </c>
      <c r="E64" s="11" t="s">
        <v>260</v>
      </c>
      <c r="F64" s="12">
        <v>10</v>
      </c>
      <c r="G64" s="13">
        <v>4157.88</v>
      </c>
      <c r="H64" s="13">
        <f>F64*G64</f>
      </c>
      <c r="I64" s="13">
        <f>H64*0.39</f>
      </c>
      <c r="J64" s="13">
        <f>H64-I64</f>
      </c>
      <c r="K64" s="14">
        <f>IFERROR(J64/H64,0)</f>
      </c>
    </row>
    <row customHeight="true" ht="15" r="65">
      <c r="A65" s="3" t="s">
        <v>261</v>
      </c>
      <c r="B65" s="4">
        <v>45309</v>
      </c>
      <c r="C65" s="5" t="s">
        <v>262</v>
      </c>
      <c r="D65" s="5" t="s">
        <v>263</v>
      </c>
      <c r="E65" s="5" t="s">
        <v>264</v>
      </c>
      <c r="F65" s="6">
        <v>2</v>
      </c>
      <c r="G65" s="7">
        <v>770.98</v>
      </c>
      <c r="H65" s="7">
        <f>F65*G65</f>
      </c>
      <c r="I65" s="7">
        <f>H65*0.68</f>
      </c>
      <c r="J65" s="7">
        <f>H65-I65</f>
      </c>
      <c r="K65" s="8">
        <f>IFERROR(J65/H65,0)</f>
      </c>
    </row>
    <row customHeight="true" ht="15" r="66">
      <c r="A66" s="9" t="s">
        <v>265</v>
      </c>
      <c r="B66" s="10">
        <v>45536</v>
      </c>
      <c r="C66" s="11" t="s">
        <v>266</v>
      </c>
      <c r="D66" s="11" t="s">
        <v>267</v>
      </c>
      <c r="E66" s="11" t="s">
        <v>268</v>
      </c>
      <c r="F66" s="12">
        <v>10</v>
      </c>
      <c r="G66" s="13">
        <v>3692.65</v>
      </c>
      <c r="H66" s="13">
        <f>F66*G66</f>
      </c>
      <c r="I66" s="13">
        <f>H66*0.59</f>
      </c>
      <c r="J66" s="13">
        <f>H66-I66</f>
      </c>
      <c r="K66" s="14">
        <f>IFERROR(J66/H66,0)</f>
      </c>
    </row>
    <row customHeight="true" ht="15" r="67">
      <c r="A67" s="3" t="s">
        <v>269</v>
      </c>
      <c r="B67" s="4">
        <v>45316</v>
      </c>
      <c r="C67" s="5" t="s">
        <v>270</v>
      </c>
      <c r="D67" s="5" t="s">
        <v>271</v>
      </c>
      <c r="E67" s="5" t="s">
        <v>272</v>
      </c>
      <c r="F67" s="6">
        <v>1</v>
      </c>
      <c r="G67" s="7">
        <v>3408.74</v>
      </c>
      <c r="H67" s="7">
        <f>F67*G67</f>
      </c>
      <c r="I67" s="7">
        <f>H67*0.5</f>
      </c>
      <c r="J67" s="7">
        <f>H67-I67</f>
      </c>
      <c r="K67" s="8">
        <f>IFERROR(J67/H67,0)</f>
      </c>
    </row>
    <row customHeight="true" ht="15" r="68">
      <c r="A68" s="9" t="s">
        <v>273</v>
      </c>
      <c r="B68" s="10">
        <v>45488</v>
      </c>
      <c r="C68" s="11" t="s">
        <v>274</v>
      </c>
      <c r="D68" s="11" t="s">
        <v>275</v>
      </c>
      <c r="E68" s="11" t="s">
        <v>276</v>
      </c>
      <c r="F68" s="12">
        <v>10</v>
      </c>
      <c r="G68" s="13">
        <v>3306.99</v>
      </c>
      <c r="H68" s="13">
        <f>F68*G68</f>
      </c>
      <c r="I68" s="13">
        <f>H68*0.54</f>
      </c>
      <c r="J68" s="13">
        <f>H68-I68</f>
      </c>
      <c r="K68" s="14">
        <f>IFERROR(J68/H68,0)</f>
      </c>
    </row>
    <row customHeight="true" ht="15" r="69">
      <c r="A69" s="3" t="s">
        <v>277</v>
      </c>
      <c r="B69" s="4">
        <v>45460</v>
      </c>
      <c r="C69" s="5" t="s">
        <v>278</v>
      </c>
      <c r="D69" s="5" t="s">
        <v>279</v>
      </c>
      <c r="E69" s="5" t="s">
        <v>280</v>
      </c>
      <c r="F69" s="6">
        <v>6</v>
      </c>
      <c r="G69" s="7">
        <v>1713.55</v>
      </c>
      <c r="H69" s="7">
        <f>F69*G69</f>
      </c>
      <c r="I69" s="7">
        <f>H69*0.69</f>
      </c>
      <c r="J69" s="7">
        <f>H69-I69</f>
      </c>
      <c r="K69" s="8">
        <f>IFERROR(J69/H69,0)</f>
      </c>
    </row>
    <row customHeight="true" ht="15" r="70">
      <c r="A70" s="9" t="s">
        <v>281</v>
      </c>
      <c r="B70" s="10">
        <v>45564</v>
      </c>
      <c r="C70" s="11" t="s">
        <v>282</v>
      </c>
      <c r="D70" s="11" t="s">
        <v>283</v>
      </c>
      <c r="E70" s="11" t="s">
        <v>284</v>
      </c>
      <c r="F70" s="12">
        <v>8</v>
      </c>
      <c r="G70" s="13">
        <v>2743.86</v>
      </c>
      <c r="H70" s="13">
        <f>F70*G70</f>
      </c>
      <c r="I70" s="13">
        <f>H70*0.63</f>
      </c>
      <c r="J70" s="13">
        <f>H70-I70</f>
      </c>
      <c r="K70" s="14">
        <f>IFERROR(J70/H70,0)</f>
      </c>
    </row>
    <row customHeight="true" ht="15" r="71">
      <c r="A71" s="3" t="s">
        <v>285</v>
      </c>
      <c r="B71" s="4">
        <v>45432</v>
      </c>
      <c r="C71" s="5" t="s">
        <v>286</v>
      </c>
      <c r="D71" s="5" t="s">
        <v>287</v>
      </c>
      <c r="E71" s="5" t="s">
        <v>288</v>
      </c>
      <c r="F71" s="6">
        <v>8</v>
      </c>
      <c r="G71" s="7">
        <v>2905.38</v>
      </c>
      <c r="H71" s="7">
        <f>F71*G71</f>
      </c>
      <c r="I71" s="7">
        <f>H71*0.44</f>
      </c>
      <c r="J71" s="7">
        <f>H71-I71</f>
      </c>
      <c r="K71" s="8">
        <f>IFERROR(J71/H71,0)</f>
      </c>
    </row>
    <row customHeight="true" ht="15" r="72">
      <c r="A72" s="9" t="s">
        <v>289</v>
      </c>
      <c r="B72" s="10">
        <v>45629</v>
      </c>
      <c r="C72" s="11" t="s">
        <v>290</v>
      </c>
      <c r="D72" s="11" t="s">
        <v>291</v>
      </c>
      <c r="E72" s="11" t="s">
        <v>292</v>
      </c>
      <c r="F72" s="12">
        <v>9</v>
      </c>
      <c r="G72" s="13">
        <v>914.34</v>
      </c>
      <c r="H72" s="13">
        <f>F72*G72</f>
      </c>
      <c r="I72" s="13">
        <f>H72*0.46</f>
      </c>
      <c r="J72" s="13">
        <f>H72-I72</f>
      </c>
      <c r="K72" s="14">
        <f>IFERROR(J72/H72,0)</f>
      </c>
    </row>
    <row customHeight="true" ht="15" r="73">
      <c r="A73" s="3" t="s">
        <v>293</v>
      </c>
      <c r="B73" s="4">
        <v>45533</v>
      </c>
      <c r="C73" s="5" t="s">
        <v>294</v>
      </c>
      <c r="D73" s="5" t="s">
        <v>295</v>
      </c>
      <c r="E73" s="5" t="s">
        <v>296</v>
      </c>
      <c r="F73" s="6">
        <v>2</v>
      </c>
      <c r="G73" s="7">
        <v>2185.1</v>
      </c>
      <c r="H73" s="7">
        <f>F73*G73</f>
      </c>
      <c r="I73" s="7">
        <f>H73*0.62</f>
      </c>
      <c r="J73" s="7">
        <f>H73-I73</f>
      </c>
      <c r="K73" s="8">
        <f>IFERROR(J73/H73,0)</f>
      </c>
    </row>
    <row customHeight="true" ht="15" r="74">
      <c r="A74" s="9" t="s">
        <v>297</v>
      </c>
      <c r="B74" s="10">
        <v>45418</v>
      </c>
      <c r="C74" s="11" t="s">
        <v>298</v>
      </c>
      <c r="D74" s="11" t="s">
        <v>299</v>
      </c>
      <c r="E74" s="11" t="s">
        <v>300</v>
      </c>
      <c r="F74" s="12">
        <v>10</v>
      </c>
      <c r="G74" s="13">
        <v>2017.24</v>
      </c>
      <c r="H74" s="13">
        <f>F74*G74</f>
      </c>
      <c r="I74" s="13">
        <f>H74*0.4</f>
      </c>
      <c r="J74" s="13">
        <f>H74-I74</f>
      </c>
      <c r="K74" s="14">
        <f>IFERROR(J74/H74,0)</f>
      </c>
    </row>
    <row customHeight="true" ht="15" r="75">
      <c r="A75" s="3" t="s">
        <v>301</v>
      </c>
      <c r="B75" s="4">
        <v>45583</v>
      </c>
      <c r="C75" s="5" t="s">
        <v>302</v>
      </c>
      <c r="D75" s="5" t="s">
        <v>303</v>
      </c>
      <c r="E75" s="5" t="s">
        <v>304</v>
      </c>
      <c r="F75" s="6">
        <v>3</v>
      </c>
      <c r="G75" s="7">
        <v>3369.32</v>
      </c>
      <c r="H75" s="7">
        <f>F75*G75</f>
      </c>
      <c r="I75" s="7">
        <f>H75*0.54</f>
      </c>
      <c r="J75" s="7">
        <f>H75-I75</f>
      </c>
      <c r="K75" s="8">
        <f>IFERROR(J75/H75,0)</f>
      </c>
    </row>
    <row customHeight="true" ht="15" r="76">
      <c r="A76" s="9" t="s">
        <v>305</v>
      </c>
      <c r="B76" s="10">
        <v>45588</v>
      </c>
      <c r="C76" s="11" t="s">
        <v>306</v>
      </c>
      <c r="D76" s="11" t="s">
        <v>307</v>
      </c>
      <c r="E76" s="11" t="s">
        <v>308</v>
      </c>
      <c r="F76" s="12">
        <v>10</v>
      </c>
      <c r="G76" s="13">
        <v>2350.11</v>
      </c>
      <c r="H76" s="13">
        <f>F76*G76</f>
      </c>
      <c r="I76" s="13">
        <f>H76*0.55</f>
      </c>
      <c r="J76" s="13">
        <f>H76-I76</f>
      </c>
      <c r="K76" s="14">
        <f>IFERROR(J76/H76,0)</f>
      </c>
    </row>
    <row customHeight="true" ht="15" r="77">
      <c r="A77" s="3" t="s">
        <v>309</v>
      </c>
      <c r="B77" s="4">
        <v>45391</v>
      </c>
      <c r="C77" s="5" t="s">
        <v>310</v>
      </c>
      <c r="D77" s="5" t="s">
        <v>311</v>
      </c>
      <c r="E77" s="5" t="s">
        <v>312</v>
      </c>
      <c r="F77" s="6">
        <v>9</v>
      </c>
      <c r="G77" s="7">
        <v>2733.41</v>
      </c>
      <c r="H77" s="7">
        <f>F77*G77</f>
      </c>
      <c r="I77" s="7">
        <f>H77*0.62</f>
      </c>
      <c r="J77" s="7">
        <f>H77-I77</f>
      </c>
      <c r="K77" s="8">
        <f>IFERROR(J77/H77,0)</f>
      </c>
    </row>
    <row customHeight="true" ht="15" r="78">
      <c r="A78" s="9" t="s">
        <v>313</v>
      </c>
      <c r="B78" s="10">
        <v>45611</v>
      </c>
      <c r="C78" s="11" t="s">
        <v>314</v>
      </c>
      <c r="D78" s="11" t="s">
        <v>315</v>
      </c>
      <c r="E78" s="11" t="s">
        <v>316</v>
      </c>
      <c r="F78" s="12">
        <v>8</v>
      </c>
      <c r="G78" s="13">
        <v>1096.33</v>
      </c>
      <c r="H78" s="13">
        <f>F78*G78</f>
      </c>
      <c r="I78" s="13">
        <f>H78*0.37</f>
      </c>
      <c r="J78" s="13">
        <f>H78-I78</f>
      </c>
      <c r="K78" s="14">
        <f>IFERROR(J78/H78,0)</f>
      </c>
    </row>
    <row customHeight="true" ht="15" r="79">
      <c r="A79" s="3" t="s">
        <v>317</v>
      </c>
      <c r="B79" s="4">
        <v>45654</v>
      </c>
      <c r="C79" s="5" t="s">
        <v>318</v>
      </c>
      <c r="D79" s="5" t="s">
        <v>319</v>
      </c>
      <c r="E79" s="5" t="s">
        <v>320</v>
      </c>
      <c r="F79" s="6">
        <v>3</v>
      </c>
      <c r="G79" s="7">
        <v>2882.02</v>
      </c>
      <c r="H79" s="7">
        <f>F79*G79</f>
      </c>
      <c r="I79" s="7">
        <f>H79*0.56</f>
      </c>
      <c r="J79" s="7">
        <f>H79-I79</f>
      </c>
      <c r="K79" s="8">
        <f>IFERROR(J79/H79,0)</f>
      </c>
    </row>
    <row customHeight="true" ht="15" r="80">
      <c r="A80" s="9" t="s">
        <v>321</v>
      </c>
      <c r="B80" s="10">
        <v>45481</v>
      </c>
      <c r="C80" s="11" t="s">
        <v>322</v>
      </c>
      <c r="D80" s="11" t="s">
        <v>323</v>
      </c>
      <c r="E80" s="11" t="s">
        <v>324</v>
      </c>
      <c r="F80" s="12">
        <v>5</v>
      </c>
      <c r="G80" s="13">
        <v>3242.98</v>
      </c>
      <c r="H80" s="13">
        <f>F80*G80</f>
      </c>
      <c r="I80" s="13">
        <f>H80*0.6</f>
      </c>
      <c r="J80" s="13">
        <f>H80-I80</f>
      </c>
      <c r="K80" s="14">
        <f>IFERROR(J80/H80,0)</f>
      </c>
    </row>
    <row customHeight="true" ht="15" r="81">
      <c r="A81" s="3" t="s">
        <v>325</v>
      </c>
      <c r="B81" s="4">
        <v>45500</v>
      </c>
      <c r="C81" s="5" t="s">
        <v>326</v>
      </c>
      <c r="D81" s="5" t="s">
        <v>327</v>
      </c>
      <c r="E81" s="5" t="s">
        <v>328</v>
      </c>
      <c r="F81" s="6">
        <v>9</v>
      </c>
      <c r="G81" s="7">
        <v>2480.73</v>
      </c>
      <c r="H81" s="7">
        <f>F81*G81</f>
      </c>
      <c r="I81" s="7">
        <f>H81*0.67</f>
      </c>
      <c r="J81" s="7">
        <f>H81-I81</f>
      </c>
      <c r="K81" s="8">
        <f>IFERROR(J81/H81,0)</f>
      </c>
    </row>
    <row customHeight="true" ht="15" r="82">
      <c r="A82" s="9" t="s">
        <v>329</v>
      </c>
      <c r="B82" s="10">
        <v>45456</v>
      </c>
      <c r="C82" s="11" t="s">
        <v>330</v>
      </c>
      <c r="D82" s="11" t="s">
        <v>331</v>
      </c>
      <c r="E82" s="11" t="s">
        <v>332</v>
      </c>
      <c r="F82" s="12">
        <v>6</v>
      </c>
      <c r="G82" s="13">
        <v>1552.95</v>
      </c>
      <c r="H82" s="13">
        <f>F82*G82</f>
      </c>
      <c r="I82" s="13">
        <f>H82*0.37</f>
      </c>
      <c r="J82" s="13">
        <f>H82-I82</f>
      </c>
      <c r="K82" s="14">
        <f>IFERROR(J82/H82,0)</f>
      </c>
    </row>
    <row customHeight="true" ht="15" r="83">
      <c r="A83" s="3" t="s">
        <v>333</v>
      </c>
      <c r="B83" s="4">
        <v>45318</v>
      </c>
      <c r="C83" s="5" t="s">
        <v>334</v>
      </c>
      <c r="D83" s="5" t="s">
        <v>335</v>
      </c>
      <c r="E83" s="5" t="s">
        <v>336</v>
      </c>
      <c r="F83" s="6">
        <v>9</v>
      </c>
      <c r="G83" s="7">
        <v>4623.08</v>
      </c>
      <c r="H83" s="7">
        <f>F83*G83</f>
      </c>
      <c r="I83" s="7">
        <f>H83*0.58</f>
      </c>
      <c r="J83" s="7">
        <f>H83-I83</f>
      </c>
      <c r="K83" s="8">
        <f>IFERROR(J83/H83,0)</f>
      </c>
    </row>
    <row customHeight="true" ht="15" r="84">
      <c r="A84" s="9" t="s">
        <v>337</v>
      </c>
      <c r="B84" s="10">
        <v>45451</v>
      </c>
      <c r="C84" s="11" t="s">
        <v>338</v>
      </c>
      <c r="D84" s="11" t="s">
        <v>339</v>
      </c>
      <c r="E84" s="11" t="s">
        <v>340</v>
      </c>
      <c r="F84" s="12">
        <v>7</v>
      </c>
      <c r="G84" s="13">
        <v>1082.2</v>
      </c>
      <c r="H84" s="13">
        <f>F84*G84</f>
      </c>
      <c r="I84" s="13">
        <f>H84*0.59</f>
      </c>
      <c r="J84" s="13">
        <f>H84-I84</f>
      </c>
      <c r="K84" s="14">
        <f>IFERROR(J84/H84,0)</f>
      </c>
    </row>
    <row customHeight="true" ht="15" r="85">
      <c r="A85" s="3" t="s">
        <v>341</v>
      </c>
      <c r="B85" s="4">
        <v>45474</v>
      </c>
      <c r="C85" s="5" t="s">
        <v>342</v>
      </c>
      <c r="D85" s="5" t="s">
        <v>343</v>
      </c>
      <c r="E85" s="5" t="s">
        <v>344</v>
      </c>
      <c r="F85" s="6">
        <v>8</v>
      </c>
      <c r="G85" s="7">
        <v>340.53</v>
      </c>
      <c r="H85" s="7">
        <f>F85*G85</f>
      </c>
      <c r="I85" s="7">
        <f>H85*0.33</f>
      </c>
      <c r="J85" s="7">
        <f>H85-I85</f>
      </c>
      <c r="K85" s="8">
        <f>IFERROR(J85/H85,0)</f>
      </c>
    </row>
    <row customHeight="true" ht="15" r="86">
      <c r="A86" s="9" t="s">
        <v>345</v>
      </c>
      <c r="B86" s="10">
        <v>45358</v>
      </c>
      <c r="C86" s="11" t="s">
        <v>346</v>
      </c>
      <c r="D86" s="11" t="s">
        <v>347</v>
      </c>
      <c r="E86" s="11" t="s">
        <v>348</v>
      </c>
      <c r="F86" s="12">
        <v>6</v>
      </c>
      <c r="G86" s="13">
        <v>4873.73</v>
      </c>
      <c r="H86" s="13">
        <f>F86*G86</f>
      </c>
      <c r="I86" s="13">
        <f>H86*0.43</f>
      </c>
      <c r="J86" s="13">
        <f>H86-I86</f>
      </c>
      <c r="K86" s="14">
        <f>IFERROR(J86/H86,0)</f>
      </c>
    </row>
    <row customHeight="true" ht="15" r="87">
      <c r="A87" s="3" t="s">
        <v>349</v>
      </c>
      <c r="B87" s="4">
        <v>45539</v>
      </c>
      <c r="C87" s="5" t="s">
        <v>350</v>
      </c>
      <c r="D87" s="5" t="s">
        <v>351</v>
      </c>
      <c r="E87" s="5" t="s">
        <v>352</v>
      </c>
      <c r="F87" s="6">
        <v>9</v>
      </c>
      <c r="G87" s="7">
        <v>4397.45</v>
      </c>
      <c r="H87" s="7">
        <f>F87*G87</f>
      </c>
      <c r="I87" s="7">
        <f>H87*0.65</f>
      </c>
      <c r="J87" s="7">
        <f>H87-I87</f>
      </c>
      <c r="K87" s="8">
        <f>IFERROR(J87/H87,0)</f>
      </c>
    </row>
    <row customHeight="true" ht="15" r="88">
      <c r="A88" s="9" t="s">
        <v>353</v>
      </c>
      <c r="B88" s="10">
        <v>45426</v>
      </c>
      <c r="C88" s="11" t="s">
        <v>354</v>
      </c>
      <c r="D88" s="11" t="s">
        <v>355</v>
      </c>
      <c r="E88" s="11" t="s">
        <v>356</v>
      </c>
      <c r="F88" s="12">
        <v>6</v>
      </c>
      <c r="G88" s="13">
        <v>4982.13</v>
      </c>
      <c r="H88" s="13">
        <f>F88*G88</f>
      </c>
      <c r="I88" s="13">
        <f>H88*0.34</f>
      </c>
      <c r="J88" s="13">
        <f>H88-I88</f>
      </c>
      <c r="K88" s="14">
        <f>IFERROR(J88/H88,0)</f>
      </c>
    </row>
    <row customHeight="true" ht="15" r="89">
      <c r="A89" s="3" t="s">
        <v>357</v>
      </c>
      <c r="B89" s="4">
        <v>45578</v>
      </c>
      <c r="C89" s="5" t="s">
        <v>358</v>
      </c>
      <c r="D89" s="5" t="s">
        <v>359</v>
      </c>
      <c r="E89" s="5" t="s">
        <v>360</v>
      </c>
      <c r="F89" s="6">
        <v>6</v>
      </c>
      <c r="G89" s="7">
        <v>1219.35</v>
      </c>
      <c r="H89" s="7">
        <f>F89*G89</f>
      </c>
      <c r="I89" s="7">
        <f>H89*0.43</f>
      </c>
      <c r="J89" s="7">
        <f>H89-I89</f>
      </c>
      <c r="K89" s="8">
        <f>IFERROR(J89/H89,0)</f>
      </c>
    </row>
    <row customHeight="true" ht="15" r="90">
      <c r="A90" s="9" t="s">
        <v>361</v>
      </c>
      <c r="B90" s="10">
        <v>45293</v>
      </c>
      <c r="C90" s="11" t="s">
        <v>362</v>
      </c>
      <c r="D90" s="11" t="s">
        <v>363</v>
      </c>
      <c r="E90" s="11" t="s">
        <v>364</v>
      </c>
      <c r="F90" s="12">
        <v>6</v>
      </c>
      <c r="G90" s="13">
        <v>4497.85</v>
      </c>
      <c r="H90" s="13">
        <f>F90*G90</f>
      </c>
      <c r="I90" s="13">
        <f>H90*0.55</f>
      </c>
      <c r="J90" s="13">
        <f>H90-I90</f>
      </c>
      <c r="K90" s="14">
        <f>IFERROR(J90/H90,0)</f>
      </c>
    </row>
    <row customHeight="true" ht="15" r="91">
      <c r="A91" s="3" t="s">
        <v>365</v>
      </c>
      <c r="B91" s="4">
        <v>45597</v>
      </c>
      <c r="C91" s="5" t="s">
        <v>366</v>
      </c>
      <c r="D91" s="5" t="s">
        <v>367</v>
      </c>
      <c r="E91" s="5" t="s">
        <v>368</v>
      </c>
      <c r="F91" s="6">
        <v>5</v>
      </c>
      <c r="G91" s="7">
        <v>4870.13</v>
      </c>
      <c r="H91" s="7">
        <f>F91*G91</f>
      </c>
      <c r="I91" s="7">
        <f>H91*0.61</f>
      </c>
      <c r="J91" s="7">
        <f>H91-I91</f>
      </c>
      <c r="K91" s="8">
        <f>IFERROR(J91/H91,0)</f>
      </c>
    </row>
    <row customHeight="true" ht="15" r="92">
      <c r="A92" s="9" t="s">
        <v>369</v>
      </c>
      <c r="B92" s="10">
        <v>45608</v>
      </c>
      <c r="C92" s="11" t="s">
        <v>370</v>
      </c>
      <c r="D92" s="11" t="s">
        <v>371</v>
      </c>
      <c r="E92" s="11" t="s">
        <v>372</v>
      </c>
      <c r="F92" s="12">
        <v>6</v>
      </c>
      <c r="G92" s="13">
        <v>712.09</v>
      </c>
      <c r="H92" s="13">
        <f>F92*G92</f>
      </c>
      <c r="I92" s="13">
        <f>H92*0.37</f>
      </c>
      <c r="J92" s="13">
        <f>H92-I92</f>
      </c>
      <c r="K92" s="14">
        <f>IFERROR(J92/H92,0)</f>
      </c>
    </row>
    <row customHeight="true" ht="15" r="93">
      <c r="A93" s="3" t="s">
        <v>373</v>
      </c>
      <c r="B93" s="4">
        <v>45504</v>
      </c>
      <c r="C93" s="5" t="s">
        <v>374</v>
      </c>
      <c r="D93" s="5" t="s">
        <v>375</v>
      </c>
      <c r="E93" s="5" t="s">
        <v>376</v>
      </c>
      <c r="F93" s="6">
        <v>2</v>
      </c>
      <c r="G93" s="7">
        <v>3601.34</v>
      </c>
      <c r="H93" s="7">
        <f>F93*G93</f>
      </c>
      <c r="I93" s="7">
        <f>H93*0.37</f>
      </c>
      <c r="J93" s="7">
        <f>H93-I93</f>
      </c>
      <c r="K93" s="8">
        <f>IFERROR(J93/H93,0)</f>
      </c>
    </row>
    <row customHeight="true" ht="15" r="94">
      <c r="A94" s="9" t="s">
        <v>377</v>
      </c>
      <c r="B94" s="10">
        <v>45615</v>
      </c>
      <c r="C94" s="11" t="s">
        <v>378</v>
      </c>
      <c r="D94" s="11" t="s">
        <v>379</v>
      </c>
      <c r="E94" s="11" t="s">
        <v>380</v>
      </c>
      <c r="F94" s="12">
        <v>2</v>
      </c>
      <c r="G94" s="13">
        <v>4994.54</v>
      </c>
      <c r="H94" s="13">
        <f>F94*G94</f>
      </c>
      <c r="I94" s="13">
        <f>H94*0.47</f>
      </c>
      <c r="J94" s="13">
        <f>H94-I94</f>
      </c>
      <c r="K94" s="14">
        <f>IFERROR(J94/H94,0)</f>
      </c>
    </row>
    <row customHeight="true" ht="15" r="95">
      <c r="A95" s="3" t="s">
        <v>381</v>
      </c>
      <c r="B95" s="4">
        <v>45540</v>
      </c>
      <c r="C95" s="5" t="s">
        <v>382</v>
      </c>
      <c r="D95" s="5" t="s">
        <v>383</v>
      </c>
      <c r="E95" s="5" t="s">
        <v>384</v>
      </c>
      <c r="F95" s="6">
        <v>4</v>
      </c>
      <c r="G95" s="7">
        <v>3145.72</v>
      </c>
      <c r="H95" s="7">
        <f>F95*G95</f>
      </c>
      <c r="I95" s="7">
        <f>H95*0.42</f>
      </c>
      <c r="J95" s="7">
        <f>H95-I95</f>
      </c>
      <c r="K95" s="8">
        <f>IFERROR(J95/H95,0)</f>
      </c>
    </row>
    <row customHeight="true" ht="15" r="96">
      <c r="A96" s="9" t="s">
        <v>385</v>
      </c>
      <c r="B96" s="10">
        <v>45460</v>
      </c>
      <c r="C96" s="11" t="s">
        <v>386</v>
      </c>
      <c r="D96" s="11" t="s">
        <v>387</v>
      </c>
      <c r="E96" s="11" t="s">
        <v>388</v>
      </c>
      <c r="F96" s="12">
        <v>8</v>
      </c>
      <c r="G96" s="13">
        <v>4882.71</v>
      </c>
      <c r="H96" s="13">
        <f>F96*G96</f>
      </c>
      <c r="I96" s="13">
        <f>H96*0.59</f>
      </c>
      <c r="J96" s="13">
        <f>H96-I96</f>
      </c>
      <c r="K96" s="14">
        <f>IFERROR(J96/H96,0)</f>
      </c>
    </row>
    <row customHeight="true" ht="15" r="97">
      <c r="A97" s="3" t="s">
        <v>389</v>
      </c>
      <c r="B97" s="4">
        <v>45510</v>
      </c>
      <c r="C97" s="5" t="s">
        <v>390</v>
      </c>
      <c r="D97" s="5" t="s">
        <v>391</v>
      </c>
      <c r="E97" s="5" t="s">
        <v>392</v>
      </c>
      <c r="F97" s="6">
        <v>3</v>
      </c>
      <c r="G97" s="7">
        <v>3500.34</v>
      </c>
      <c r="H97" s="7">
        <f>F97*G97</f>
      </c>
      <c r="I97" s="7">
        <f>H97*0.47</f>
      </c>
      <c r="J97" s="7">
        <f>H97-I97</f>
      </c>
      <c r="K97" s="8">
        <f>IFERROR(J97/H97,0)</f>
      </c>
    </row>
    <row customHeight="true" ht="15" r="98">
      <c r="A98" s="9" t="s">
        <v>393</v>
      </c>
      <c r="B98" s="10">
        <v>45415</v>
      </c>
      <c r="C98" s="11" t="s">
        <v>394</v>
      </c>
      <c r="D98" s="11" t="s">
        <v>395</v>
      </c>
      <c r="E98" s="11" t="s">
        <v>396</v>
      </c>
      <c r="F98" s="12">
        <v>7</v>
      </c>
      <c r="G98" s="13">
        <v>1169.32</v>
      </c>
      <c r="H98" s="13">
        <f>F98*G98</f>
      </c>
      <c r="I98" s="13">
        <f>H98*0.55</f>
      </c>
      <c r="J98" s="13">
        <f>H98-I98</f>
      </c>
      <c r="K98" s="14">
        <f>IFERROR(J98/H98,0)</f>
      </c>
    </row>
    <row customHeight="true" ht="15" r="99">
      <c r="A99" s="3" t="s">
        <v>397</v>
      </c>
      <c r="B99" s="4">
        <v>45594</v>
      </c>
      <c r="C99" s="5" t="s">
        <v>398</v>
      </c>
      <c r="D99" s="5" t="s">
        <v>399</v>
      </c>
      <c r="E99" s="5" t="s">
        <v>400</v>
      </c>
      <c r="F99" s="6">
        <v>9</v>
      </c>
      <c r="G99" s="7">
        <v>3600.22</v>
      </c>
      <c r="H99" s="7">
        <f>F99*G99</f>
      </c>
      <c r="I99" s="7">
        <f>H99*0.57</f>
      </c>
      <c r="J99" s="7">
        <f>H99-I99</f>
      </c>
      <c r="K99" s="8">
        <f>IFERROR(J99/H99,0)</f>
      </c>
    </row>
    <row customHeight="true" ht="15" r="100">
      <c r="A100" s="9" t="s">
        <v>401</v>
      </c>
      <c r="B100" s="10">
        <v>45505</v>
      </c>
      <c r="C100" s="11" t="s">
        <v>402</v>
      </c>
      <c r="D100" s="11" t="s">
        <v>403</v>
      </c>
      <c r="E100" s="11" t="s">
        <v>404</v>
      </c>
      <c r="F100" s="12">
        <v>9</v>
      </c>
      <c r="G100" s="13">
        <v>808.6</v>
      </c>
      <c r="H100" s="13">
        <f>F100*G100</f>
      </c>
      <c r="I100" s="13">
        <f>H100*0.55</f>
      </c>
      <c r="J100" s="13">
        <f>H100-I100</f>
      </c>
      <c r="K100" s="14">
        <f>IFERROR(J100/H100,0)</f>
      </c>
    </row>
    <row customHeight="true" ht="15" r="101">
      <c r="A101" s="3" t="s">
        <v>405</v>
      </c>
      <c r="B101" s="4">
        <v>45410</v>
      </c>
      <c r="C101" s="5" t="s">
        <v>406</v>
      </c>
      <c r="D101" s="5" t="s">
        <v>407</v>
      </c>
      <c r="E101" s="5" t="s">
        <v>408</v>
      </c>
      <c r="F101" s="6">
        <v>4</v>
      </c>
      <c r="G101" s="7">
        <v>1338.92</v>
      </c>
      <c r="H101" s="7">
        <f>F101*G101</f>
      </c>
      <c r="I101" s="7">
        <f>H101*0.41</f>
      </c>
      <c r="J101" s="7">
        <f>H101-I101</f>
      </c>
      <c r="K101" s="8">
        <f>IFERROR(J101/H101,0)</f>
      </c>
    </row>
    <row customHeight="true" ht="15" r="102">
      <c r="A102" s="9" t="s">
        <v>409</v>
      </c>
      <c r="B102" s="10">
        <v>45309</v>
      </c>
      <c r="C102" s="11" t="s">
        <v>410</v>
      </c>
      <c r="D102" s="11" t="s">
        <v>411</v>
      </c>
      <c r="E102" s="11" t="s">
        <v>412</v>
      </c>
      <c r="F102" s="12">
        <v>3</v>
      </c>
      <c r="G102" s="13">
        <v>1547.19</v>
      </c>
      <c r="H102" s="13">
        <f>F102*G102</f>
      </c>
      <c r="I102" s="13">
        <f>H102*0.54</f>
      </c>
      <c r="J102" s="13">
        <f>H102-I102</f>
      </c>
      <c r="K102" s="14">
        <f>IFERROR(J102/H102,0)</f>
      </c>
    </row>
    <row customHeight="true" ht="15" r="103">
      <c r="A103" s="3" t="s">
        <v>413</v>
      </c>
      <c r="B103" s="4">
        <v>45465</v>
      </c>
      <c r="C103" s="5" t="s">
        <v>414</v>
      </c>
      <c r="D103" s="5" t="s">
        <v>415</v>
      </c>
      <c r="E103" s="5" t="s">
        <v>416</v>
      </c>
      <c r="F103" s="6">
        <v>4</v>
      </c>
      <c r="G103" s="7">
        <v>3676.23</v>
      </c>
      <c r="H103" s="7">
        <f>F103*G103</f>
      </c>
      <c r="I103" s="7">
        <f>H103*0.41</f>
      </c>
      <c r="J103" s="7">
        <f>H103-I103</f>
      </c>
      <c r="K103" s="8">
        <f>IFERROR(J103/H103,0)</f>
      </c>
    </row>
    <row customHeight="true" ht="15" r="104">
      <c r="A104" s="9" t="s">
        <v>417</v>
      </c>
      <c r="B104" s="10">
        <v>45557</v>
      </c>
      <c r="C104" s="11" t="s">
        <v>418</v>
      </c>
      <c r="D104" s="11" t="s">
        <v>419</v>
      </c>
      <c r="E104" s="11" t="s">
        <v>420</v>
      </c>
      <c r="F104" s="12">
        <v>3</v>
      </c>
      <c r="G104" s="13">
        <v>3807.33</v>
      </c>
      <c r="H104" s="13">
        <f>F104*G104</f>
      </c>
      <c r="I104" s="13">
        <f>H104*0.53</f>
      </c>
      <c r="J104" s="13">
        <f>H104-I104</f>
      </c>
      <c r="K104" s="14">
        <f>IFERROR(J104/H104,0)</f>
      </c>
    </row>
    <row customHeight="true" ht="15" r="105">
      <c r="A105" s="3" t="s">
        <v>421</v>
      </c>
      <c r="B105" s="4">
        <v>45371</v>
      </c>
      <c r="C105" s="5" t="s">
        <v>422</v>
      </c>
      <c r="D105" s="5" t="s">
        <v>423</v>
      </c>
      <c r="E105" s="5" t="s">
        <v>424</v>
      </c>
      <c r="F105" s="6">
        <v>3</v>
      </c>
      <c r="G105" s="7">
        <v>4482.17</v>
      </c>
      <c r="H105" s="7">
        <f>F105*G105</f>
      </c>
      <c r="I105" s="7">
        <f>H105*0.55</f>
      </c>
      <c r="J105" s="7">
        <f>H105-I105</f>
      </c>
      <c r="K105" s="8">
        <f>IFERROR(J105/H105,0)</f>
      </c>
    </row>
    <row customHeight="true" ht="15" r="106">
      <c r="A106" s="9" t="s">
        <v>425</v>
      </c>
      <c r="B106" s="10">
        <v>45308</v>
      </c>
      <c r="C106" s="11" t="s">
        <v>426</v>
      </c>
      <c r="D106" s="11" t="s">
        <v>427</v>
      </c>
      <c r="E106" s="11" t="s">
        <v>428</v>
      </c>
      <c r="F106" s="12">
        <v>4</v>
      </c>
      <c r="G106" s="13">
        <v>1510.08</v>
      </c>
      <c r="H106" s="13">
        <f>F106*G106</f>
      </c>
      <c r="I106" s="13">
        <f>H106*0.32</f>
      </c>
      <c r="J106" s="13">
        <f>H106-I106</f>
      </c>
      <c r="K106" s="14">
        <f>IFERROR(J106/H106,0)</f>
      </c>
    </row>
    <row customHeight="true" ht="15" r="107">
      <c r="A107" s="3" t="s">
        <v>429</v>
      </c>
      <c r="B107" s="4">
        <v>45568</v>
      </c>
      <c r="C107" s="5" t="s">
        <v>430</v>
      </c>
      <c r="D107" s="5" t="s">
        <v>431</v>
      </c>
      <c r="E107" s="5" t="s">
        <v>432</v>
      </c>
      <c r="F107" s="6">
        <v>9</v>
      </c>
      <c r="G107" s="7">
        <v>1233.7</v>
      </c>
      <c r="H107" s="7">
        <f>F107*G107</f>
      </c>
      <c r="I107" s="7">
        <f>H107*0.32</f>
      </c>
      <c r="J107" s="7">
        <f>H107-I107</f>
      </c>
      <c r="K107" s="8">
        <f>IFERROR(J107/H107,0)</f>
      </c>
    </row>
    <row customHeight="true" ht="15" r="108">
      <c r="A108" s="9" t="s">
        <v>433</v>
      </c>
      <c r="B108" s="10">
        <v>45598</v>
      </c>
      <c r="C108" s="11" t="s">
        <v>434</v>
      </c>
      <c r="D108" s="11" t="s">
        <v>435</v>
      </c>
      <c r="E108" s="11" t="s">
        <v>436</v>
      </c>
      <c r="F108" s="12">
        <v>10</v>
      </c>
      <c r="G108" s="13">
        <v>2742.13</v>
      </c>
      <c r="H108" s="13">
        <f>F108*G108</f>
      </c>
      <c r="I108" s="13">
        <f>H108*0.54</f>
      </c>
      <c r="J108" s="13">
        <f>H108-I108</f>
      </c>
      <c r="K108" s="14">
        <f>IFERROR(J108/H108,0)</f>
      </c>
    </row>
    <row customHeight="true" ht="15" r="109">
      <c r="A109" s="3" t="s">
        <v>437</v>
      </c>
      <c r="B109" s="4">
        <v>45553</v>
      </c>
      <c r="C109" s="5" t="s">
        <v>438</v>
      </c>
      <c r="D109" s="5" t="s">
        <v>439</v>
      </c>
      <c r="E109" s="5" t="s">
        <v>440</v>
      </c>
      <c r="F109" s="6">
        <v>7</v>
      </c>
      <c r="G109" s="7">
        <v>2590.38</v>
      </c>
      <c r="H109" s="7">
        <f>F109*G109</f>
      </c>
      <c r="I109" s="7">
        <f>H109*0.54</f>
      </c>
      <c r="J109" s="7">
        <f>H109-I109</f>
      </c>
      <c r="K109" s="8">
        <f>IFERROR(J109/H109,0)</f>
      </c>
    </row>
    <row customHeight="true" ht="15" r="110">
      <c r="A110" s="9" t="s">
        <v>441</v>
      </c>
      <c r="B110" s="10">
        <v>45368</v>
      </c>
      <c r="C110" s="11" t="s">
        <v>442</v>
      </c>
      <c r="D110" s="11" t="s">
        <v>443</v>
      </c>
      <c r="E110" s="11" t="s">
        <v>444</v>
      </c>
      <c r="F110" s="12">
        <v>4</v>
      </c>
      <c r="G110" s="13">
        <v>1560.66</v>
      </c>
      <c r="H110" s="13">
        <f>F110*G110</f>
      </c>
      <c r="I110" s="13">
        <f>H110*0.48</f>
      </c>
      <c r="J110" s="13">
        <f>H110-I110</f>
      </c>
      <c r="K110" s="14">
        <f>IFERROR(J110/H110,0)</f>
      </c>
    </row>
    <row customHeight="true" ht="15" r="111">
      <c r="A111" s="3" t="s">
        <v>445</v>
      </c>
      <c r="B111" s="4">
        <v>45396</v>
      </c>
      <c r="C111" s="5" t="s">
        <v>446</v>
      </c>
      <c r="D111" s="5" t="s">
        <v>447</v>
      </c>
      <c r="E111" s="5" t="s">
        <v>448</v>
      </c>
      <c r="F111" s="6">
        <v>9</v>
      </c>
      <c r="G111" s="7">
        <v>3211.19</v>
      </c>
      <c r="H111" s="7">
        <f>F111*G111</f>
      </c>
      <c r="I111" s="7">
        <f>H111*0.42</f>
      </c>
      <c r="J111" s="7">
        <f>H111-I111</f>
      </c>
      <c r="K111" s="8">
        <f>IFERROR(J111/H111,0)</f>
      </c>
    </row>
    <row customHeight="true" ht="15" r="112">
      <c r="A112" s="9" t="s">
        <v>449</v>
      </c>
      <c r="B112" s="10">
        <v>45299</v>
      </c>
      <c r="C112" s="11" t="s">
        <v>450</v>
      </c>
      <c r="D112" s="11" t="s">
        <v>451</v>
      </c>
      <c r="E112" s="11" t="s">
        <v>452</v>
      </c>
      <c r="F112" s="12">
        <v>7</v>
      </c>
      <c r="G112" s="13">
        <v>2692.22</v>
      </c>
      <c r="H112" s="13">
        <f>F112*G112</f>
      </c>
      <c r="I112" s="13">
        <f>H112*0.56</f>
      </c>
      <c r="J112" s="13">
        <f>H112-I112</f>
      </c>
      <c r="K112" s="14">
        <f>IFERROR(J112/H112,0)</f>
      </c>
    </row>
    <row customHeight="true" ht="15" r="113">
      <c r="A113" s="3" t="s">
        <v>453</v>
      </c>
      <c r="B113" s="4">
        <v>45400</v>
      </c>
      <c r="C113" s="5" t="s">
        <v>454</v>
      </c>
      <c r="D113" s="5" t="s">
        <v>455</v>
      </c>
      <c r="E113" s="5" t="s">
        <v>456</v>
      </c>
      <c r="F113" s="6">
        <v>1</v>
      </c>
      <c r="G113" s="7">
        <v>612.9</v>
      </c>
      <c r="H113" s="7">
        <f>F113*G113</f>
      </c>
      <c r="I113" s="7">
        <f>H113*0.35</f>
      </c>
      <c r="J113" s="7">
        <f>H113-I113</f>
      </c>
      <c r="K113" s="8">
        <f>IFERROR(J113/H113,0)</f>
      </c>
    </row>
    <row customHeight="true" ht="15" r="114">
      <c r="A114" s="9" t="s">
        <v>457</v>
      </c>
      <c r="B114" s="10">
        <v>45634</v>
      </c>
      <c r="C114" s="11" t="s">
        <v>458</v>
      </c>
      <c r="D114" s="11" t="s">
        <v>459</v>
      </c>
      <c r="E114" s="11" t="s">
        <v>460</v>
      </c>
      <c r="F114" s="12">
        <v>5</v>
      </c>
      <c r="G114" s="13">
        <v>4834.34</v>
      </c>
      <c r="H114" s="13">
        <f>F114*G114</f>
      </c>
      <c r="I114" s="13">
        <f>H114*0.57</f>
      </c>
      <c r="J114" s="13">
        <f>H114-I114</f>
      </c>
      <c r="K114" s="14">
        <f>IFERROR(J114/H114,0)</f>
      </c>
    </row>
    <row customHeight="true" ht="15" r="115">
      <c r="A115" s="3" t="s">
        <v>461</v>
      </c>
      <c r="B115" s="4">
        <v>45589</v>
      </c>
      <c r="C115" s="5" t="s">
        <v>462</v>
      </c>
      <c r="D115" s="5" t="s">
        <v>463</v>
      </c>
      <c r="E115" s="5" t="s">
        <v>464</v>
      </c>
      <c r="F115" s="6">
        <v>7</v>
      </c>
      <c r="G115" s="7">
        <v>2296.18</v>
      </c>
      <c r="H115" s="7">
        <f>F115*G115</f>
      </c>
      <c r="I115" s="7">
        <f>H115*0.49</f>
      </c>
      <c r="J115" s="7">
        <f>H115-I115</f>
      </c>
      <c r="K115" s="8">
        <f>IFERROR(J115/H115,0)</f>
      </c>
    </row>
    <row customHeight="true" ht="15" r="116">
      <c r="A116" s="9" t="s">
        <v>465</v>
      </c>
      <c r="B116" s="10">
        <v>45442</v>
      </c>
      <c r="C116" s="11" t="s">
        <v>466</v>
      </c>
      <c r="D116" s="11" t="s">
        <v>467</v>
      </c>
      <c r="E116" s="11" t="s">
        <v>468</v>
      </c>
      <c r="F116" s="12">
        <v>10</v>
      </c>
      <c r="G116" s="13">
        <v>4868.87</v>
      </c>
      <c r="H116" s="13">
        <f>F116*G116</f>
      </c>
      <c r="I116" s="13">
        <f>H116*0.6</f>
      </c>
      <c r="J116" s="13">
        <f>H116-I116</f>
      </c>
      <c r="K116" s="14">
        <f>IFERROR(J116/H116,0)</f>
      </c>
    </row>
    <row customHeight="true" ht="15" r="117">
      <c r="A117" s="3" t="s">
        <v>469</v>
      </c>
      <c r="B117" s="4">
        <v>45343</v>
      </c>
      <c r="C117" s="5" t="s">
        <v>470</v>
      </c>
      <c r="D117" s="5" t="s">
        <v>471</v>
      </c>
      <c r="E117" s="5" t="s">
        <v>472</v>
      </c>
      <c r="F117" s="6">
        <v>6</v>
      </c>
      <c r="G117" s="7">
        <v>2557.92</v>
      </c>
      <c r="H117" s="7">
        <f>F117*G117</f>
      </c>
      <c r="I117" s="7">
        <f>H117*0.37</f>
      </c>
      <c r="J117" s="7">
        <f>H117-I117</f>
      </c>
      <c r="K117" s="8">
        <f>IFERROR(J117/H117,0)</f>
      </c>
    </row>
    <row customHeight="true" ht="15" r="118">
      <c r="A118" s="9" t="s">
        <v>473</v>
      </c>
      <c r="B118" s="10">
        <v>45498</v>
      </c>
      <c r="C118" s="11" t="s">
        <v>474</v>
      </c>
      <c r="D118" s="11" t="s">
        <v>475</v>
      </c>
      <c r="E118" s="11" t="s">
        <v>476</v>
      </c>
      <c r="F118" s="12">
        <v>10</v>
      </c>
      <c r="G118" s="13">
        <v>2456.48</v>
      </c>
      <c r="H118" s="13">
        <f>F118*G118</f>
      </c>
      <c r="I118" s="13">
        <f>H118*0.35</f>
      </c>
      <c r="J118" s="13">
        <f>H118-I118</f>
      </c>
      <c r="K118" s="14">
        <f>IFERROR(J118/H118,0)</f>
      </c>
    </row>
    <row customHeight="true" ht="15" r="119">
      <c r="A119" s="3" t="s">
        <v>477</v>
      </c>
      <c r="B119" s="4">
        <v>45513</v>
      </c>
      <c r="C119" s="5" t="s">
        <v>478</v>
      </c>
      <c r="D119" s="5" t="s">
        <v>479</v>
      </c>
      <c r="E119" s="5" t="s">
        <v>480</v>
      </c>
      <c r="F119" s="6">
        <v>6</v>
      </c>
      <c r="G119" s="7">
        <v>813.51</v>
      </c>
      <c r="H119" s="7">
        <f>F119*G119</f>
      </c>
      <c r="I119" s="7">
        <f>H119*0.34</f>
      </c>
      <c r="J119" s="7">
        <f>H119-I119</f>
      </c>
      <c r="K119" s="8">
        <f>IFERROR(J119/H119,0)</f>
      </c>
    </row>
    <row customHeight="true" ht="15" r="120">
      <c r="A120" s="9" t="s">
        <v>481</v>
      </c>
      <c r="B120" s="10">
        <v>45549</v>
      </c>
      <c r="C120" s="11" t="s">
        <v>482</v>
      </c>
      <c r="D120" s="11" t="s">
        <v>483</v>
      </c>
      <c r="E120" s="11" t="s">
        <v>484</v>
      </c>
      <c r="F120" s="12">
        <v>7</v>
      </c>
      <c r="G120" s="13">
        <v>4233.13</v>
      </c>
      <c r="H120" s="13">
        <f>F120*G120</f>
      </c>
      <c r="I120" s="13">
        <f>H120*0.48</f>
      </c>
      <c r="J120" s="13">
        <f>H120-I120</f>
      </c>
      <c r="K120" s="14">
        <f>IFERROR(J120/H120,0)</f>
      </c>
    </row>
    <row customHeight="true" ht="15" r="121">
      <c r="A121" s="3" t="s">
        <v>485</v>
      </c>
      <c r="B121" s="4">
        <v>45413</v>
      </c>
      <c r="C121" s="5" t="s">
        <v>486</v>
      </c>
      <c r="D121" s="5" t="s">
        <v>487</v>
      </c>
      <c r="E121" s="5" t="s">
        <v>488</v>
      </c>
      <c r="F121" s="6">
        <v>7</v>
      </c>
      <c r="G121" s="7">
        <v>464.56</v>
      </c>
      <c r="H121" s="7">
        <f>F121*G121</f>
      </c>
      <c r="I121" s="7">
        <f>H121*0.34</f>
      </c>
      <c r="J121" s="7">
        <f>H121-I121</f>
      </c>
      <c r="K121" s="8">
        <f>IFERROR(J121/H121,0)</f>
      </c>
    </row>
    <row customHeight="true" ht="15" r="122">
      <c r="A122" s="9" t="s">
        <v>489</v>
      </c>
      <c r="B122" s="10">
        <v>45319</v>
      </c>
      <c r="C122" s="11" t="s">
        <v>490</v>
      </c>
      <c r="D122" s="11" t="s">
        <v>491</v>
      </c>
      <c r="E122" s="11" t="s">
        <v>492</v>
      </c>
      <c r="F122" s="12">
        <v>1</v>
      </c>
      <c r="G122" s="13">
        <v>3559.64</v>
      </c>
      <c r="H122" s="13">
        <f>F122*G122</f>
      </c>
      <c r="I122" s="13">
        <f>H122*0.45</f>
      </c>
      <c r="J122" s="13">
        <f>H122-I122</f>
      </c>
      <c r="K122" s="14">
        <f>IFERROR(J122/H122,0)</f>
      </c>
    </row>
    <row customHeight="true" ht="15" r="123">
      <c r="A123" s="3" t="s">
        <v>493</v>
      </c>
      <c r="B123" s="4">
        <v>45407</v>
      </c>
      <c r="C123" s="5" t="s">
        <v>494</v>
      </c>
      <c r="D123" s="5" t="s">
        <v>495</v>
      </c>
      <c r="E123" s="5" t="s">
        <v>496</v>
      </c>
      <c r="F123" s="6">
        <v>8</v>
      </c>
      <c r="G123" s="7">
        <v>4389.04</v>
      </c>
      <c r="H123" s="7">
        <f>F123*G123</f>
      </c>
      <c r="I123" s="7">
        <f>H123*0.69</f>
      </c>
      <c r="J123" s="7">
        <f>H123-I123</f>
      </c>
      <c r="K123" s="8">
        <f>IFERROR(J123/H123,0)</f>
      </c>
    </row>
    <row customHeight="true" ht="15" r="124">
      <c r="A124" s="9" t="s">
        <v>497</v>
      </c>
      <c r="B124" s="10">
        <v>45580</v>
      </c>
      <c r="C124" s="11" t="s">
        <v>498</v>
      </c>
      <c r="D124" s="11" t="s">
        <v>499</v>
      </c>
      <c r="E124" s="11" t="s">
        <v>500</v>
      </c>
      <c r="F124" s="12">
        <v>4</v>
      </c>
      <c r="G124" s="13">
        <v>4381.95</v>
      </c>
      <c r="H124" s="13">
        <f>F124*G124</f>
      </c>
      <c r="I124" s="13">
        <f>H124*0.45</f>
      </c>
      <c r="J124" s="13">
        <f>H124-I124</f>
      </c>
      <c r="K124" s="14">
        <f>IFERROR(J124/H124,0)</f>
      </c>
    </row>
    <row customHeight="true" ht="15" r="125">
      <c r="A125" s="3" t="s">
        <v>501</v>
      </c>
      <c r="B125" s="4">
        <v>45357</v>
      </c>
      <c r="C125" s="5" t="s">
        <v>502</v>
      </c>
      <c r="D125" s="5" t="s">
        <v>503</v>
      </c>
      <c r="E125" s="5" t="s">
        <v>504</v>
      </c>
      <c r="F125" s="6">
        <v>10</v>
      </c>
      <c r="G125" s="7">
        <v>1003.06</v>
      </c>
      <c r="H125" s="7">
        <f>F125*G125</f>
      </c>
      <c r="I125" s="7">
        <f>H125*0.43</f>
      </c>
      <c r="J125" s="7">
        <f>H125-I125</f>
      </c>
      <c r="K125" s="8">
        <f>IFERROR(J125/H125,0)</f>
      </c>
    </row>
    <row customHeight="true" ht="15" r="126">
      <c r="A126" s="9" t="s">
        <v>505</v>
      </c>
      <c r="B126" s="10">
        <v>45341</v>
      </c>
      <c r="C126" s="11" t="s">
        <v>506</v>
      </c>
      <c r="D126" s="11" t="s">
        <v>507</v>
      </c>
      <c r="E126" s="11" t="s">
        <v>508</v>
      </c>
      <c r="F126" s="12">
        <v>10</v>
      </c>
      <c r="G126" s="13">
        <v>3704.22</v>
      </c>
      <c r="H126" s="13">
        <f>F126*G126</f>
      </c>
      <c r="I126" s="13">
        <f>H126*0.39</f>
      </c>
      <c r="J126" s="13">
        <f>H126-I126</f>
      </c>
      <c r="K126" s="14">
        <f>IFERROR(J126/H126,0)</f>
      </c>
    </row>
    <row customHeight="true" ht="15" r="127">
      <c r="A127" s="3" t="s">
        <v>509</v>
      </c>
      <c r="B127" s="4">
        <v>45581</v>
      </c>
      <c r="C127" s="5" t="s">
        <v>510</v>
      </c>
      <c r="D127" s="5" t="s">
        <v>511</v>
      </c>
      <c r="E127" s="5" t="s">
        <v>512</v>
      </c>
      <c r="F127" s="6">
        <v>6</v>
      </c>
      <c r="G127" s="7">
        <v>2089.94</v>
      </c>
      <c r="H127" s="7">
        <f>F127*G127</f>
      </c>
      <c r="I127" s="7">
        <f>H127*0.39</f>
      </c>
      <c r="J127" s="7">
        <f>H127-I127</f>
      </c>
      <c r="K127" s="8">
        <f>IFERROR(J127/H127,0)</f>
      </c>
    </row>
    <row customHeight="true" ht="15" r="128">
      <c r="A128" s="9" t="s">
        <v>513</v>
      </c>
      <c r="B128" s="10">
        <v>45391</v>
      </c>
      <c r="C128" s="11" t="s">
        <v>514</v>
      </c>
      <c r="D128" s="11" t="s">
        <v>515</v>
      </c>
      <c r="E128" s="11" t="s">
        <v>516</v>
      </c>
      <c r="F128" s="12">
        <v>2</v>
      </c>
      <c r="G128" s="13">
        <v>4981.02</v>
      </c>
      <c r="H128" s="13">
        <f>F128*G128</f>
      </c>
      <c r="I128" s="13">
        <f>H128*0.7</f>
      </c>
      <c r="J128" s="13">
        <f>H128-I128</f>
      </c>
      <c r="K128" s="14">
        <f>IFERROR(J128/H128,0)</f>
      </c>
    </row>
    <row customHeight="true" ht="15" r="129">
      <c r="A129" s="3" t="s">
        <v>517</v>
      </c>
      <c r="B129" s="4">
        <v>45490</v>
      </c>
      <c r="C129" s="5" t="s">
        <v>518</v>
      </c>
      <c r="D129" s="5" t="s">
        <v>519</v>
      </c>
      <c r="E129" s="5" t="s">
        <v>520</v>
      </c>
      <c r="F129" s="6">
        <v>8</v>
      </c>
      <c r="G129" s="7">
        <v>150.66</v>
      </c>
      <c r="H129" s="7">
        <f>F129*G129</f>
      </c>
      <c r="I129" s="7">
        <f>H129*0.48</f>
      </c>
      <c r="J129" s="7">
        <f>H129-I129</f>
      </c>
      <c r="K129" s="8">
        <f>IFERROR(J129/H129,0)</f>
      </c>
    </row>
    <row customHeight="true" ht="15" r="130">
      <c r="A130" s="9" t="s">
        <v>521</v>
      </c>
      <c r="B130" s="10">
        <v>45493</v>
      </c>
      <c r="C130" s="11" t="s">
        <v>522</v>
      </c>
      <c r="D130" s="11" t="s">
        <v>523</v>
      </c>
      <c r="E130" s="11" t="s">
        <v>524</v>
      </c>
      <c r="F130" s="12">
        <v>3</v>
      </c>
      <c r="G130" s="13">
        <v>1649.9</v>
      </c>
      <c r="H130" s="13">
        <f>F130*G130</f>
      </c>
      <c r="I130" s="13">
        <f>H130*0.49</f>
      </c>
      <c r="J130" s="13">
        <f>H130-I130</f>
      </c>
      <c r="K130" s="14">
        <f>IFERROR(J130/H130,0)</f>
      </c>
    </row>
    <row customHeight="true" ht="15" r="131">
      <c r="A131" s="3" t="s">
        <v>525</v>
      </c>
      <c r="B131" s="4">
        <v>45624</v>
      </c>
      <c r="C131" s="5" t="s">
        <v>526</v>
      </c>
      <c r="D131" s="5" t="s">
        <v>527</v>
      </c>
      <c r="E131" s="5" t="s">
        <v>528</v>
      </c>
      <c r="F131" s="6">
        <v>5</v>
      </c>
      <c r="G131" s="7">
        <v>1852.32</v>
      </c>
      <c r="H131" s="7">
        <f>F131*G131</f>
      </c>
      <c r="I131" s="7">
        <f>H131*0.31</f>
      </c>
      <c r="J131" s="7">
        <f>H131-I131</f>
      </c>
      <c r="K131" s="8">
        <f>IFERROR(J131/H131,0)</f>
      </c>
    </row>
    <row customHeight="true" ht="15" r="132">
      <c r="A132" s="9" t="s">
        <v>529</v>
      </c>
      <c r="B132" s="10">
        <v>45297</v>
      </c>
      <c r="C132" s="11" t="s">
        <v>530</v>
      </c>
      <c r="D132" s="11" t="s">
        <v>531</v>
      </c>
      <c r="E132" s="11" t="s">
        <v>532</v>
      </c>
      <c r="F132" s="12">
        <v>7</v>
      </c>
      <c r="G132" s="13">
        <v>235.2</v>
      </c>
      <c r="H132" s="13">
        <f>F132*G132</f>
      </c>
      <c r="I132" s="13">
        <f>H132*0.64</f>
      </c>
      <c r="J132" s="13">
        <f>H132-I132</f>
      </c>
      <c r="K132" s="14">
        <f>IFERROR(J132/H132,0)</f>
      </c>
    </row>
    <row customHeight="true" ht="15" r="133">
      <c r="A133" s="3" t="s">
        <v>533</v>
      </c>
      <c r="B133" s="4">
        <v>45423</v>
      </c>
      <c r="C133" s="5" t="s">
        <v>534</v>
      </c>
      <c r="D133" s="5" t="s">
        <v>535</v>
      </c>
      <c r="E133" s="5" t="s">
        <v>536</v>
      </c>
      <c r="F133" s="6">
        <v>2</v>
      </c>
      <c r="G133" s="7">
        <v>4162.59</v>
      </c>
      <c r="H133" s="7">
        <f>F133*G133</f>
      </c>
      <c r="I133" s="7">
        <f>H133*0.59</f>
      </c>
      <c r="J133" s="7">
        <f>H133-I133</f>
      </c>
      <c r="K133" s="8">
        <f>IFERROR(J133/H133,0)</f>
      </c>
    </row>
    <row customHeight="true" ht="15" r="134">
      <c r="A134" s="9" t="s">
        <v>537</v>
      </c>
      <c r="B134" s="10">
        <v>45517</v>
      </c>
      <c r="C134" s="11" t="s">
        <v>538</v>
      </c>
      <c r="D134" s="11" t="s">
        <v>539</v>
      </c>
      <c r="E134" s="11" t="s">
        <v>540</v>
      </c>
      <c r="F134" s="12">
        <v>5</v>
      </c>
      <c r="G134" s="13">
        <v>1353.64</v>
      </c>
      <c r="H134" s="13">
        <f>F134*G134</f>
      </c>
      <c r="I134" s="13">
        <f>H134*0.35</f>
      </c>
      <c r="J134" s="13">
        <f>H134-I134</f>
      </c>
      <c r="K134" s="14">
        <f>IFERROR(J134/H134,0)</f>
      </c>
    </row>
    <row customHeight="true" ht="15" r="135">
      <c r="A135" s="3" t="s">
        <v>541</v>
      </c>
      <c r="B135" s="4">
        <v>45412</v>
      </c>
      <c r="C135" s="5" t="s">
        <v>542</v>
      </c>
      <c r="D135" s="5" t="s">
        <v>543</v>
      </c>
      <c r="E135" s="5" t="s">
        <v>544</v>
      </c>
      <c r="F135" s="6">
        <v>8</v>
      </c>
      <c r="G135" s="7">
        <v>2290.43</v>
      </c>
      <c r="H135" s="7">
        <f>F135*G135</f>
      </c>
      <c r="I135" s="7">
        <f>H135*0.46</f>
      </c>
      <c r="J135" s="7">
        <f>H135-I135</f>
      </c>
      <c r="K135" s="8">
        <f>IFERROR(J135/H135,0)</f>
      </c>
    </row>
    <row customHeight="true" ht="15" r="136">
      <c r="A136" s="9" t="s">
        <v>545</v>
      </c>
      <c r="B136" s="10">
        <v>45474</v>
      </c>
      <c r="C136" s="11" t="s">
        <v>546</v>
      </c>
      <c r="D136" s="11" t="s">
        <v>547</v>
      </c>
      <c r="E136" s="11" t="s">
        <v>548</v>
      </c>
      <c r="F136" s="12">
        <v>6</v>
      </c>
      <c r="G136" s="13">
        <v>4440.9</v>
      </c>
      <c r="H136" s="13">
        <f>F136*G136</f>
      </c>
      <c r="I136" s="13">
        <f>H136*0.45</f>
      </c>
      <c r="J136" s="13">
        <f>H136-I136</f>
      </c>
      <c r="K136" s="14">
        <f>IFERROR(J136/H136,0)</f>
      </c>
    </row>
    <row customHeight="true" ht="15" r="137">
      <c r="A137" s="3" t="s">
        <v>549</v>
      </c>
      <c r="B137" s="4">
        <v>45549</v>
      </c>
      <c r="C137" s="5" t="s">
        <v>550</v>
      </c>
      <c r="D137" s="5" t="s">
        <v>551</v>
      </c>
      <c r="E137" s="5" t="s">
        <v>552</v>
      </c>
      <c r="F137" s="6">
        <v>4</v>
      </c>
      <c r="G137" s="7">
        <v>3400.13</v>
      </c>
      <c r="H137" s="7">
        <f>F137*G137</f>
      </c>
      <c r="I137" s="7">
        <f>H137*0.31</f>
      </c>
      <c r="J137" s="7">
        <f>H137-I137</f>
      </c>
      <c r="K137" s="8">
        <f>IFERROR(J137/H137,0)</f>
      </c>
    </row>
    <row customHeight="true" ht="15" r="138">
      <c r="A138" s="9" t="s">
        <v>553</v>
      </c>
      <c r="B138" s="10">
        <v>45602</v>
      </c>
      <c r="C138" s="11" t="s">
        <v>554</v>
      </c>
      <c r="D138" s="11" t="s">
        <v>555</v>
      </c>
      <c r="E138" s="11" t="s">
        <v>556</v>
      </c>
      <c r="F138" s="12">
        <v>8</v>
      </c>
      <c r="G138" s="13">
        <v>764.89</v>
      </c>
      <c r="H138" s="13">
        <f>F138*G138</f>
      </c>
      <c r="I138" s="13">
        <f>H138*0.63</f>
      </c>
      <c r="J138" s="13">
        <f>H138-I138</f>
      </c>
      <c r="K138" s="14">
        <f>IFERROR(J138/H138,0)</f>
      </c>
    </row>
    <row customHeight="true" ht="15" r="139">
      <c r="A139" s="3" t="s">
        <v>557</v>
      </c>
      <c r="B139" s="4">
        <v>45485</v>
      </c>
      <c r="C139" s="5" t="s">
        <v>558</v>
      </c>
      <c r="D139" s="5" t="s">
        <v>559</v>
      </c>
      <c r="E139" s="5" t="s">
        <v>560</v>
      </c>
      <c r="F139" s="6">
        <v>9</v>
      </c>
      <c r="G139" s="7">
        <v>3108.07</v>
      </c>
      <c r="H139" s="7">
        <f>F139*G139</f>
      </c>
      <c r="I139" s="7">
        <f>H139*0.54</f>
      </c>
      <c r="J139" s="7">
        <f>H139-I139</f>
      </c>
      <c r="K139" s="8">
        <f>IFERROR(J139/H139,0)</f>
      </c>
    </row>
    <row customHeight="true" ht="15" r="140">
      <c r="A140" s="9" t="s">
        <v>561</v>
      </c>
      <c r="B140" s="10">
        <v>45578</v>
      </c>
      <c r="C140" s="11" t="s">
        <v>562</v>
      </c>
      <c r="D140" s="11" t="s">
        <v>563</v>
      </c>
      <c r="E140" s="11" t="s">
        <v>564</v>
      </c>
      <c r="F140" s="12">
        <v>5</v>
      </c>
      <c r="G140" s="13">
        <v>3499.54</v>
      </c>
      <c r="H140" s="13">
        <f>F140*G140</f>
      </c>
      <c r="I140" s="13">
        <f>H140*0.47</f>
      </c>
      <c r="J140" s="13">
        <f>H140-I140</f>
      </c>
      <c r="K140" s="14">
        <f>IFERROR(J140/H140,0)</f>
      </c>
    </row>
    <row customHeight="true" ht="15" r="141">
      <c r="A141" s="3" t="s">
        <v>565</v>
      </c>
      <c r="B141" s="4">
        <v>45499</v>
      </c>
      <c r="C141" s="5" t="s">
        <v>566</v>
      </c>
      <c r="D141" s="5" t="s">
        <v>567</v>
      </c>
      <c r="E141" s="5" t="s">
        <v>568</v>
      </c>
      <c r="F141" s="6">
        <v>6</v>
      </c>
      <c r="G141" s="7">
        <v>2190.14</v>
      </c>
      <c r="H141" s="7">
        <f>F141*G141</f>
      </c>
      <c r="I141" s="7">
        <f>H141*0.56</f>
      </c>
      <c r="J141" s="7">
        <f>H141-I141</f>
      </c>
      <c r="K141" s="8">
        <f>IFERROR(J141/H141,0)</f>
      </c>
    </row>
    <row customHeight="true" ht="15" r="142">
      <c r="A142" s="9" t="s">
        <v>569</v>
      </c>
      <c r="B142" s="10">
        <v>45510</v>
      </c>
      <c r="C142" s="11" t="s">
        <v>570</v>
      </c>
      <c r="D142" s="11" t="s">
        <v>571</v>
      </c>
      <c r="E142" s="11" t="s">
        <v>572</v>
      </c>
      <c r="F142" s="12">
        <v>7</v>
      </c>
      <c r="G142" s="13">
        <v>4369.81</v>
      </c>
      <c r="H142" s="13">
        <f>F142*G142</f>
      </c>
      <c r="I142" s="13">
        <f>H142*0.43</f>
      </c>
      <c r="J142" s="13">
        <f>H142-I142</f>
      </c>
      <c r="K142" s="14">
        <f>IFERROR(J142/H142,0)</f>
      </c>
    </row>
    <row customHeight="true" ht="15" r="143">
      <c r="A143" s="3" t="s">
        <v>573</v>
      </c>
      <c r="B143" s="4">
        <v>45608</v>
      </c>
      <c r="C143" s="5" t="s">
        <v>574</v>
      </c>
      <c r="D143" s="5" t="s">
        <v>575</v>
      </c>
      <c r="E143" s="5" t="s">
        <v>576</v>
      </c>
      <c r="F143" s="6">
        <v>8</v>
      </c>
      <c r="G143" s="7">
        <v>669.21</v>
      </c>
      <c r="H143" s="7">
        <f>F143*G143</f>
      </c>
      <c r="I143" s="7">
        <f>H143*0.56</f>
      </c>
      <c r="J143" s="7">
        <f>H143-I143</f>
      </c>
      <c r="K143" s="8">
        <f>IFERROR(J143/H143,0)</f>
      </c>
    </row>
    <row customHeight="true" ht="15" r="144">
      <c r="A144" s="9" t="s">
        <v>577</v>
      </c>
      <c r="B144" s="10">
        <v>45330</v>
      </c>
      <c r="C144" s="11" t="s">
        <v>578</v>
      </c>
      <c r="D144" s="11" t="s">
        <v>579</v>
      </c>
      <c r="E144" s="11" t="s">
        <v>580</v>
      </c>
      <c r="F144" s="12">
        <v>9</v>
      </c>
      <c r="G144" s="13">
        <v>3555.77</v>
      </c>
      <c r="H144" s="13">
        <f>F144*G144</f>
      </c>
      <c r="I144" s="13">
        <f>H144*0.31</f>
      </c>
      <c r="J144" s="13">
        <f>H144-I144</f>
      </c>
      <c r="K144" s="14">
        <f>IFERROR(J144/H144,0)</f>
      </c>
    </row>
    <row customHeight="true" ht="15" r="145">
      <c r="A145" s="3" t="s">
        <v>581</v>
      </c>
      <c r="B145" s="4">
        <v>45564</v>
      </c>
      <c r="C145" s="5" t="s">
        <v>582</v>
      </c>
      <c r="D145" s="5" t="s">
        <v>583</v>
      </c>
      <c r="E145" s="5" t="s">
        <v>584</v>
      </c>
      <c r="F145" s="6">
        <v>9</v>
      </c>
      <c r="G145" s="7">
        <v>4682.61</v>
      </c>
      <c r="H145" s="7">
        <f>F145*G145</f>
      </c>
      <c r="I145" s="7">
        <f>H145*0.5</f>
      </c>
      <c r="J145" s="7">
        <f>H145-I145</f>
      </c>
      <c r="K145" s="8">
        <f>IFERROR(J145/H145,0)</f>
      </c>
    </row>
    <row customHeight="true" ht="15" r="146">
      <c r="A146" s="9" t="s">
        <v>585</v>
      </c>
      <c r="B146" s="10">
        <v>45531</v>
      </c>
      <c r="C146" s="11" t="s">
        <v>586</v>
      </c>
      <c r="D146" s="11" t="s">
        <v>587</v>
      </c>
      <c r="E146" s="11" t="s">
        <v>588</v>
      </c>
      <c r="F146" s="12">
        <v>9</v>
      </c>
      <c r="G146" s="13">
        <v>1262.37</v>
      </c>
      <c r="H146" s="13">
        <f>F146*G146</f>
      </c>
      <c r="I146" s="13">
        <f>H146*0.68</f>
      </c>
      <c r="J146" s="13">
        <f>H146-I146</f>
      </c>
      <c r="K146" s="14">
        <f>IFERROR(J146/H146,0)</f>
      </c>
    </row>
    <row customHeight="true" ht="15" r="147">
      <c r="A147" s="3" t="s">
        <v>589</v>
      </c>
      <c r="B147" s="4">
        <v>45643</v>
      </c>
      <c r="C147" s="5" t="s">
        <v>590</v>
      </c>
      <c r="D147" s="5" t="s">
        <v>591</v>
      </c>
      <c r="E147" s="5" t="s">
        <v>592</v>
      </c>
      <c r="F147" s="6">
        <v>3</v>
      </c>
      <c r="G147" s="7">
        <v>4922.68</v>
      </c>
      <c r="H147" s="7">
        <f>F147*G147</f>
      </c>
      <c r="I147" s="7">
        <f>H147*0.65</f>
      </c>
      <c r="J147" s="7">
        <f>H147-I147</f>
      </c>
      <c r="K147" s="8">
        <f>IFERROR(J147/H147,0)</f>
      </c>
    </row>
    <row customHeight="true" ht="15" r="148">
      <c r="A148" s="9" t="s">
        <v>593</v>
      </c>
      <c r="B148" s="10">
        <v>45401</v>
      </c>
      <c r="C148" s="11" t="s">
        <v>594</v>
      </c>
      <c r="D148" s="11" t="s">
        <v>595</v>
      </c>
      <c r="E148" s="11" t="s">
        <v>596</v>
      </c>
      <c r="F148" s="12">
        <v>1</v>
      </c>
      <c r="G148" s="13">
        <v>4947.41</v>
      </c>
      <c r="H148" s="13">
        <f>F148*G148</f>
      </c>
      <c r="I148" s="13">
        <f>H148*0.54</f>
      </c>
      <c r="J148" s="13">
        <f>H148-I148</f>
      </c>
      <c r="K148" s="14">
        <f>IFERROR(J148/H148,0)</f>
      </c>
    </row>
    <row customHeight="true" ht="15" r="149">
      <c r="A149" s="3" t="s">
        <v>597</v>
      </c>
      <c r="B149" s="4">
        <v>45339</v>
      </c>
      <c r="C149" s="5" t="s">
        <v>598</v>
      </c>
      <c r="D149" s="5" t="s">
        <v>599</v>
      </c>
      <c r="E149" s="5" t="s">
        <v>600</v>
      </c>
      <c r="F149" s="6">
        <v>9</v>
      </c>
      <c r="G149" s="7">
        <v>3898.68</v>
      </c>
      <c r="H149" s="7">
        <f>F149*G149</f>
      </c>
      <c r="I149" s="7">
        <f>H149*0.37</f>
      </c>
      <c r="J149" s="7">
        <f>H149-I149</f>
      </c>
      <c r="K149" s="8">
        <f>IFERROR(J149/H149,0)</f>
      </c>
    </row>
    <row customHeight="true" ht="15" r="150">
      <c r="A150" s="9" t="s">
        <v>601</v>
      </c>
      <c r="B150" s="10">
        <v>45643</v>
      </c>
      <c r="C150" s="11" t="s">
        <v>602</v>
      </c>
      <c r="D150" s="11" t="s">
        <v>603</v>
      </c>
      <c r="E150" s="11" t="s">
        <v>604</v>
      </c>
      <c r="F150" s="12">
        <v>6</v>
      </c>
      <c r="G150" s="13">
        <v>2471.68</v>
      </c>
      <c r="H150" s="13">
        <f>F150*G150</f>
      </c>
      <c r="I150" s="13">
        <f>H150*0.6</f>
      </c>
      <c r="J150" s="13">
        <f>H150-I150</f>
      </c>
      <c r="K150" s="14">
        <f>IFERROR(J150/H150,0)</f>
      </c>
    </row>
    <row customHeight="true" ht="15" r="151">
      <c r="A151" s="3" t="s">
        <v>605</v>
      </c>
      <c r="B151" s="4">
        <v>45360</v>
      </c>
      <c r="C151" s="5" t="s">
        <v>606</v>
      </c>
      <c r="D151" s="5" t="s">
        <v>607</v>
      </c>
      <c r="E151" s="5" t="s">
        <v>608</v>
      </c>
      <c r="F151" s="6">
        <v>3</v>
      </c>
      <c r="G151" s="7">
        <v>4352.13</v>
      </c>
      <c r="H151" s="7">
        <f>F151*G151</f>
      </c>
      <c r="I151" s="7">
        <f>H151*0.4</f>
      </c>
      <c r="J151" s="7">
        <f>H151-I151</f>
      </c>
      <c r="K151" s="8">
        <f>IFERROR(J151/H151,0)</f>
      </c>
    </row>
    <row customHeight="true" ht="15" r="152">
      <c r="A152" s="9" t="s">
        <v>609</v>
      </c>
      <c r="B152" s="10">
        <v>45481</v>
      </c>
      <c r="C152" s="11" t="s">
        <v>610</v>
      </c>
      <c r="D152" s="11" t="s">
        <v>611</v>
      </c>
      <c r="E152" s="11" t="s">
        <v>612</v>
      </c>
      <c r="F152" s="12">
        <v>3</v>
      </c>
      <c r="G152" s="13">
        <v>1220.08</v>
      </c>
      <c r="H152" s="13">
        <f>F152*G152</f>
      </c>
      <c r="I152" s="13">
        <f>H152*0.36</f>
      </c>
      <c r="J152" s="13">
        <f>H152-I152</f>
      </c>
      <c r="K152" s="14">
        <f>IFERROR(J152/H152,0)</f>
      </c>
    </row>
    <row customHeight="true" ht="15" r="153">
      <c r="A153" s="3" t="s">
        <v>613</v>
      </c>
      <c r="B153" s="4">
        <v>45372</v>
      </c>
      <c r="C153" s="5" t="s">
        <v>614</v>
      </c>
      <c r="D153" s="5" t="s">
        <v>615</v>
      </c>
      <c r="E153" s="5" t="s">
        <v>616</v>
      </c>
      <c r="F153" s="6">
        <v>2</v>
      </c>
      <c r="G153" s="7">
        <v>83.79</v>
      </c>
      <c r="H153" s="7">
        <f>F153*G153</f>
      </c>
      <c r="I153" s="7">
        <f>H153*0.63</f>
      </c>
      <c r="J153" s="7">
        <f>H153-I153</f>
      </c>
      <c r="K153" s="8">
        <f>IFERROR(J153/H153,0)</f>
      </c>
    </row>
    <row customHeight="true" ht="15" r="154">
      <c r="A154" s="9" t="s">
        <v>617</v>
      </c>
      <c r="B154" s="10">
        <v>45505</v>
      </c>
      <c r="C154" s="11" t="s">
        <v>618</v>
      </c>
      <c r="D154" s="11" t="s">
        <v>619</v>
      </c>
      <c r="E154" s="11" t="s">
        <v>620</v>
      </c>
      <c r="F154" s="12">
        <v>6</v>
      </c>
      <c r="G154" s="13">
        <v>26.67</v>
      </c>
      <c r="H154" s="13">
        <f>F154*G154</f>
      </c>
      <c r="I154" s="13">
        <f>H154*0.4</f>
      </c>
      <c r="J154" s="13">
        <f>H154-I154</f>
      </c>
      <c r="K154" s="14">
        <f>IFERROR(J154/H154,0)</f>
      </c>
    </row>
    <row customHeight="true" ht="15" r="155">
      <c r="A155" s="3" t="s">
        <v>621</v>
      </c>
      <c r="B155" s="4">
        <v>45330</v>
      </c>
      <c r="C155" s="5" t="s">
        <v>622</v>
      </c>
      <c r="D155" s="5" t="s">
        <v>623</v>
      </c>
      <c r="E155" s="5" t="s">
        <v>624</v>
      </c>
      <c r="F155" s="6">
        <v>1</v>
      </c>
      <c r="G155" s="7">
        <v>486.03</v>
      </c>
      <c r="H155" s="7">
        <f>F155*G155</f>
      </c>
      <c r="I155" s="7">
        <f>H155*0.44</f>
      </c>
      <c r="J155" s="7">
        <f>H155-I155</f>
      </c>
      <c r="K155" s="8">
        <f>IFERROR(J155/H155,0)</f>
      </c>
    </row>
    <row customHeight="true" ht="15" r="156">
      <c r="A156" s="9" t="s">
        <v>625</v>
      </c>
      <c r="B156" s="10">
        <v>45356</v>
      </c>
      <c r="C156" s="11" t="s">
        <v>626</v>
      </c>
      <c r="D156" s="11" t="s">
        <v>627</v>
      </c>
      <c r="E156" s="11" t="s">
        <v>628</v>
      </c>
      <c r="F156" s="12">
        <v>7</v>
      </c>
      <c r="G156" s="13">
        <v>4891.32</v>
      </c>
      <c r="H156" s="13">
        <f>F156*G156</f>
      </c>
      <c r="I156" s="13">
        <f>H156*0.33</f>
      </c>
      <c r="J156" s="13">
        <f>H156-I156</f>
      </c>
      <c r="K156" s="14">
        <f>IFERROR(J156/H156,0)</f>
      </c>
    </row>
    <row customHeight="true" ht="15" r="157">
      <c r="A157" s="3" t="s">
        <v>629</v>
      </c>
      <c r="B157" s="4">
        <v>45538</v>
      </c>
      <c r="C157" s="5" t="s">
        <v>630</v>
      </c>
      <c r="D157" s="5" t="s">
        <v>631</v>
      </c>
      <c r="E157" s="5" t="s">
        <v>632</v>
      </c>
      <c r="F157" s="6">
        <v>4</v>
      </c>
      <c r="G157" s="7">
        <v>2419.38</v>
      </c>
      <c r="H157" s="7">
        <f>F157*G157</f>
      </c>
      <c r="I157" s="7">
        <f>H157*0.48</f>
      </c>
      <c r="J157" s="7">
        <f>H157-I157</f>
      </c>
      <c r="K157" s="8">
        <f>IFERROR(J157/H157,0)</f>
      </c>
    </row>
    <row customHeight="true" ht="15" r="158">
      <c r="A158" s="9" t="s">
        <v>633</v>
      </c>
      <c r="B158" s="10">
        <v>45489</v>
      </c>
      <c r="C158" s="11" t="s">
        <v>634</v>
      </c>
      <c r="D158" s="11" t="s">
        <v>635</v>
      </c>
      <c r="E158" s="11" t="s">
        <v>636</v>
      </c>
      <c r="F158" s="12">
        <v>10</v>
      </c>
      <c r="G158" s="13">
        <v>439.05</v>
      </c>
      <c r="H158" s="13">
        <f>F158*G158</f>
      </c>
      <c r="I158" s="13">
        <f>H158*0.41</f>
      </c>
      <c r="J158" s="13">
        <f>H158-I158</f>
      </c>
      <c r="K158" s="14">
        <f>IFERROR(J158/H158,0)</f>
      </c>
    </row>
    <row customHeight="true" ht="15" r="159">
      <c r="A159" s="3" t="s">
        <v>637</v>
      </c>
      <c r="B159" s="4">
        <v>45343</v>
      </c>
      <c r="C159" s="5" t="s">
        <v>638</v>
      </c>
      <c r="D159" s="5" t="s">
        <v>639</v>
      </c>
      <c r="E159" s="5" t="s">
        <v>640</v>
      </c>
      <c r="F159" s="6">
        <v>5</v>
      </c>
      <c r="G159" s="7">
        <v>64.77</v>
      </c>
      <c r="H159" s="7">
        <f>F159*G159</f>
      </c>
      <c r="I159" s="7">
        <f>H159*0.61</f>
      </c>
      <c r="J159" s="7">
        <f>H159-I159</f>
      </c>
      <c r="K159" s="8">
        <f>IFERROR(J159/H159,0)</f>
      </c>
    </row>
    <row customHeight="true" ht="15" r="160">
      <c r="A160" s="9" t="s">
        <v>641</v>
      </c>
      <c r="B160" s="10">
        <v>45457</v>
      </c>
      <c r="C160" s="11" t="s">
        <v>642</v>
      </c>
      <c r="D160" s="11" t="s">
        <v>643</v>
      </c>
      <c r="E160" s="11" t="s">
        <v>644</v>
      </c>
      <c r="F160" s="12">
        <v>10</v>
      </c>
      <c r="G160" s="13">
        <v>1107.1</v>
      </c>
      <c r="H160" s="13">
        <f>F160*G160</f>
      </c>
      <c r="I160" s="13">
        <f>H160*0.31</f>
      </c>
      <c r="J160" s="13">
        <f>H160-I160</f>
      </c>
      <c r="K160" s="14">
        <f>IFERROR(J160/H160,0)</f>
      </c>
    </row>
    <row customHeight="true" ht="15" r="161">
      <c r="A161" s="3" t="s">
        <v>645</v>
      </c>
      <c r="B161" s="4">
        <v>45409</v>
      </c>
      <c r="C161" s="5" t="s">
        <v>646</v>
      </c>
      <c r="D161" s="5" t="s">
        <v>647</v>
      </c>
      <c r="E161" s="5" t="s">
        <v>648</v>
      </c>
      <c r="F161" s="6">
        <v>6</v>
      </c>
      <c r="G161" s="7">
        <v>1247.97</v>
      </c>
      <c r="H161" s="7">
        <f>F161*G161</f>
      </c>
      <c r="I161" s="7">
        <f>H161*0.65</f>
      </c>
      <c r="J161" s="7">
        <f>H161-I161</f>
      </c>
      <c r="K161" s="8">
        <f>IFERROR(J161/H161,0)</f>
      </c>
    </row>
    <row customHeight="true" ht="15" r="162">
      <c r="A162" s="9" t="s">
        <v>649</v>
      </c>
      <c r="B162" s="10">
        <v>45537</v>
      </c>
      <c r="C162" s="11" t="s">
        <v>650</v>
      </c>
      <c r="D162" s="11" t="s">
        <v>651</v>
      </c>
      <c r="E162" s="11" t="s">
        <v>652</v>
      </c>
      <c r="F162" s="12">
        <v>2</v>
      </c>
      <c r="G162" s="13">
        <v>1813.01</v>
      </c>
      <c r="H162" s="13">
        <f>F162*G162</f>
      </c>
      <c r="I162" s="13">
        <f>H162*0.48</f>
      </c>
      <c r="J162" s="13">
        <f>H162-I162</f>
      </c>
      <c r="K162" s="14">
        <f>IFERROR(J162/H162,0)</f>
      </c>
    </row>
    <row customHeight="true" ht="15" r="163">
      <c r="A163" s="3" t="s">
        <v>653</v>
      </c>
      <c r="B163" s="4">
        <v>45399</v>
      </c>
      <c r="C163" s="5" t="s">
        <v>654</v>
      </c>
      <c r="D163" s="5" t="s">
        <v>655</v>
      </c>
      <c r="E163" s="5" t="s">
        <v>656</v>
      </c>
      <c r="F163" s="6">
        <v>7</v>
      </c>
      <c r="G163" s="7">
        <v>2115.64</v>
      </c>
      <c r="H163" s="7">
        <f>F163*G163</f>
      </c>
      <c r="I163" s="7">
        <f>H163*0.63</f>
      </c>
      <c r="J163" s="7">
        <f>H163-I163</f>
      </c>
      <c r="K163" s="8">
        <f>IFERROR(J163/H163,0)</f>
      </c>
    </row>
    <row customHeight="true" ht="15" r="164">
      <c r="A164" s="9" t="s">
        <v>657</v>
      </c>
      <c r="B164" s="10">
        <v>45534</v>
      </c>
      <c r="C164" s="11" t="s">
        <v>658</v>
      </c>
      <c r="D164" s="11" t="s">
        <v>659</v>
      </c>
      <c r="E164" s="11" t="s">
        <v>660</v>
      </c>
      <c r="F164" s="12">
        <v>8</v>
      </c>
      <c r="G164" s="13">
        <v>2025.27</v>
      </c>
      <c r="H164" s="13">
        <f>F164*G164</f>
      </c>
      <c r="I164" s="13">
        <f>H164*0.34</f>
      </c>
      <c r="J164" s="13">
        <f>H164-I164</f>
      </c>
      <c r="K164" s="14">
        <f>IFERROR(J164/H164,0)</f>
      </c>
    </row>
    <row customHeight="true" ht="15" r="165">
      <c r="A165" s="3" t="s">
        <v>661</v>
      </c>
      <c r="B165" s="4">
        <v>45540</v>
      </c>
      <c r="C165" s="5" t="s">
        <v>662</v>
      </c>
      <c r="D165" s="5" t="s">
        <v>663</v>
      </c>
      <c r="E165" s="5" t="s">
        <v>664</v>
      </c>
      <c r="F165" s="6">
        <v>10</v>
      </c>
      <c r="G165" s="7">
        <v>1706.02</v>
      </c>
      <c r="H165" s="7">
        <f>F165*G165</f>
      </c>
      <c r="I165" s="7">
        <f>H165*0.63</f>
      </c>
      <c r="J165" s="7">
        <f>H165-I165</f>
      </c>
      <c r="K165" s="8">
        <f>IFERROR(J165/H165,0)</f>
      </c>
    </row>
    <row customHeight="true" ht="15" r="166">
      <c r="A166" s="9" t="s">
        <v>665</v>
      </c>
      <c r="B166" s="10">
        <v>45375</v>
      </c>
      <c r="C166" s="11" t="s">
        <v>666</v>
      </c>
      <c r="D166" s="11" t="s">
        <v>667</v>
      </c>
      <c r="E166" s="11" t="s">
        <v>668</v>
      </c>
      <c r="F166" s="12">
        <v>4</v>
      </c>
      <c r="G166" s="13">
        <v>4761</v>
      </c>
      <c r="H166" s="13">
        <f>F166*G166</f>
      </c>
      <c r="I166" s="13">
        <f>H166*0.5</f>
      </c>
      <c r="J166" s="13">
        <f>H166-I166</f>
      </c>
      <c r="K166" s="14">
        <f>IFERROR(J166/H166,0)</f>
      </c>
    </row>
    <row customHeight="true" ht="15" r="167">
      <c r="A167" s="3" t="s">
        <v>669</v>
      </c>
      <c r="B167" s="4">
        <v>45584</v>
      </c>
      <c r="C167" s="5" t="s">
        <v>670</v>
      </c>
      <c r="D167" s="5" t="s">
        <v>671</v>
      </c>
      <c r="E167" s="5" t="s">
        <v>672</v>
      </c>
      <c r="F167" s="6">
        <v>3</v>
      </c>
      <c r="G167" s="7">
        <v>456.74</v>
      </c>
      <c r="H167" s="7">
        <f>F167*G167</f>
      </c>
      <c r="I167" s="7">
        <f>H167*0.42</f>
      </c>
      <c r="J167" s="7">
        <f>H167-I167</f>
      </c>
      <c r="K167" s="8">
        <f>IFERROR(J167/H167,0)</f>
      </c>
    </row>
    <row customHeight="true" ht="15" r="168">
      <c r="A168" s="9" t="s">
        <v>673</v>
      </c>
      <c r="B168" s="10">
        <v>45620</v>
      </c>
      <c r="C168" s="11" t="s">
        <v>674</v>
      </c>
      <c r="D168" s="11" t="s">
        <v>675</v>
      </c>
      <c r="E168" s="11" t="s">
        <v>676</v>
      </c>
      <c r="F168" s="12">
        <v>8</v>
      </c>
      <c r="G168" s="13">
        <v>2728.59</v>
      </c>
      <c r="H168" s="13">
        <f>F168*G168</f>
      </c>
      <c r="I168" s="13">
        <f>H168*0.62</f>
      </c>
      <c r="J168" s="13">
        <f>H168-I168</f>
      </c>
      <c r="K168" s="14">
        <f>IFERROR(J168/H168,0)</f>
      </c>
    </row>
    <row customHeight="true" ht="15" r="169">
      <c r="A169" s="3" t="s">
        <v>677</v>
      </c>
      <c r="B169" s="4">
        <v>45405</v>
      </c>
      <c r="C169" s="5" t="s">
        <v>678</v>
      </c>
      <c r="D169" s="5" t="s">
        <v>679</v>
      </c>
      <c r="E169" s="5" t="s">
        <v>680</v>
      </c>
      <c r="F169" s="6">
        <v>10</v>
      </c>
      <c r="G169" s="7">
        <v>3280.82</v>
      </c>
      <c r="H169" s="7">
        <f>F169*G169</f>
      </c>
      <c r="I169" s="7">
        <f>H169*0.46</f>
      </c>
      <c r="J169" s="7">
        <f>H169-I169</f>
      </c>
      <c r="K169" s="8">
        <f>IFERROR(J169/H169,0)</f>
      </c>
    </row>
    <row customHeight="true" ht="15" r="170">
      <c r="A170" s="9" t="s">
        <v>681</v>
      </c>
      <c r="B170" s="10">
        <v>45614</v>
      </c>
      <c r="C170" s="11" t="s">
        <v>682</v>
      </c>
      <c r="D170" s="11" t="s">
        <v>683</v>
      </c>
      <c r="E170" s="11" t="s">
        <v>684</v>
      </c>
      <c r="F170" s="12">
        <v>1</v>
      </c>
      <c r="G170" s="13">
        <v>3415.13</v>
      </c>
      <c r="H170" s="13">
        <f>F170*G170</f>
      </c>
      <c r="I170" s="13">
        <f>H170*0.59</f>
      </c>
      <c r="J170" s="13">
        <f>H170-I170</f>
      </c>
      <c r="K170" s="14">
        <f>IFERROR(J170/H170,0)</f>
      </c>
    </row>
    <row customHeight="true" ht="15" r="171">
      <c r="A171" s="3" t="s">
        <v>685</v>
      </c>
      <c r="B171" s="4">
        <v>45507</v>
      </c>
      <c r="C171" s="5" t="s">
        <v>686</v>
      </c>
      <c r="D171" s="5" t="s">
        <v>687</v>
      </c>
      <c r="E171" s="5" t="s">
        <v>688</v>
      </c>
      <c r="F171" s="6">
        <v>7</v>
      </c>
      <c r="G171" s="7">
        <v>554.53</v>
      </c>
      <c r="H171" s="7">
        <f>F171*G171</f>
      </c>
      <c r="I171" s="7">
        <f>H171*0.46</f>
      </c>
      <c r="J171" s="7">
        <f>H171-I171</f>
      </c>
      <c r="K171" s="8">
        <f>IFERROR(J171/H171,0)</f>
      </c>
    </row>
    <row customHeight="true" ht="15" r="172">
      <c r="A172" s="9" t="s">
        <v>689</v>
      </c>
      <c r="B172" s="10">
        <v>45425</v>
      </c>
      <c r="C172" s="11" t="s">
        <v>690</v>
      </c>
      <c r="D172" s="11" t="s">
        <v>691</v>
      </c>
      <c r="E172" s="11" t="s">
        <v>692</v>
      </c>
      <c r="F172" s="12">
        <v>8</v>
      </c>
      <c r="G172" s="13">
        <v>2796.64</v>
      </c>
      <c r="H172" s="13">
        <f>F172*G172</f>
      </c>
      <c r="I172" s="13">
        <f>H172*0.6</f>
      </c>
      <c r="J172" s="13">
        <f>H172-I172</f>
      </c>
      <c r="K172" s="14">
        <f>IFERROR(J172/H172,0)</f>
      </c>
    </row>
    <row customHeight="true" ht="15" r="173">
      <c r="A173" s="3" t="s">
        <v>693</v>
      </c>
      <c r="B173" s="4">
        <v>45335</v>
      </c>
      <c r="C173" s="5" t="s">
        <v>694</v>
      </c>
      <c r="D173" s="5" t="s">
        <v>695</v>
      </c>
      <c r="E173" s="5" t="s">
        <v>696</v>
      </c>
      <c r="F173" s="6">
        <v>7</v>
      </c>
      <c r="G173" s="7">
        <v>18.39</v>
      </c>
      <c r="H173" s="7">
        <f>F173*G173</f>
      </c>
      <c r="I173" s="7">
        <f>H173*0.48</f>
      </c>
      <c r="J173" s="7">
        <f>H173-I173</f>
      </c>
      <c r="K173" s="8">
        <f>IFERROR(J173/H173,0)</f>
      </c>
    </row>
    <row customHeight="true" ht="15" r="174">
      <c r="A174" s="9" t="s">
        <v>697</v>
      </c>
      <c r="B174" s="10">
        <v>45305</v>
      </c>
      <c r="C174" s="11" t="s">
        <v>698</v>
      </c>
      <c r="D174" s="11" t="s">
        <v>699</v>
      </c>
      <c r="E174" s="11" t="s">
        <v>700</v>
      </c>
      <c r="F174" s="12">
        <v>8</v>
      </c>
      <c r="G174" s="13">
        <v>1970.8</v>
      </c>
      <c r="H174" s="13">
        <f>F174*G174</f>
      </c>
      <c r="I174" s="13">
        <f>H174*0.32</f>
      </c>
      <c r="J174" s="13">
        <f>H174-I174</f>
      </c>
      <c r="K174" s="14">
        <f>IFERROR(J174/H174,0)</f>
      </c>
    </row>
    <row customHeight="true" ht="15" r="175">
      <c r="A175" s="3" t="s">
        <v>701</v>
      </c>
      <c r="B175" s="4">
        <v>45594</v>
      </c>
      <c r="C175" s="5" t="s">
        <v>702</v>
      </c>
      <c r="D175" s="5" t="s">
        <v>703</v>
      </c>
      <c r="E175" s="5" t="s">
        <v>704</v>
      </c>
      <c r="F175" s="6">
        <v>6</v>
      </c>
      <c r="G175" s="7">
        <v>318.84</v>
      </c>
      <c r="H175" s="7">
        <f>F175*G175</f>
      </c>
      <c r="I175" s="7">
        <f>H175*0.38</f>
      </c>
      <c r="J175" s="7">
        <f>H175-I175</f>
      </c>
      <c r="K175" s="8">
        <f>IFERROR(J175/H175,0)</f>
      </c>
    </row>
    <row customHeight="true" ht="15" r="176">
      <c r="A176" s="9" t="s">
        <v>705</v>
      </c>
      <c r="B176" s="10">
        <v>45483</v>
      </c>
      <c r="C176" s="11" t="s">
        <v>706</v>
      </c>
      <c r="D176" s="11" t="s">
        <v>707</v>
      </c>
      <c r="E176" s="11" t="s">
        <v>708</v>
      </c>
      <c r="F176" s="12">
        <v>6</v>
      </c>
      <c r="G176" s="13">
        <v>617.72</v>
      </c>
      <c r="H176" s="13">
        <f>F176*G176</f>
      </c>
      <c r="I176" s="13">
        <f>H176*0.63</f>
      </c>
      <c r="J176" s="13">
        <f>H176-I176</f>
      </c>
      <c r="K176" s="14">
        <f>IFERROR(J176/H176,0)</f>
      </c>
    </row>
    <row customHeight="true" ht="15" r="177">
      <c r="A177" s="3" t="s">
        <v>709</v>
      </c>
      <c r="B177" s="4">
        <v>45655</v>
      </c>
      <c r="C177" s="5" t="s">
        <v>710</v>
      </c>
      <c r="D177" s="5" t="s">
        <v>711</v>
      </c>
      <c r="E177" s="5" t="s">
        <v>712</v>
      </c>
      <c r="F177" s="6">
        <v>10</v>
      </c>
      <c r="G177" s="7">
        <v>3398.92</v>
      </c>
      <c r="H177" s="7">
        <f>F177*G177</f>
      </c>
      <c r="I177" s="7">
        <f>H177*0.44</f>
      </c>
      <c r="J177" s="7">
        <f>H177-I177</f>
      </c>
      <c r="K177" s="8">
        <f>IFERROR(J177/H177,0)</f>
      </c>
    </row>
    <row customHeight="true" ht="15" r="178">
      <c r="A178" s="9" t="s">
        <v>713</v>
      </c>
      <c r="B178" s="10">
        <v>45586</v>
      </c>
      <c r="C178" s="11" t="s">
        <v>714</v>
      </c>
      <c r="D178" s="11" t="s">
        <v>715</v>
      </c>
      <c r="E178" s="11" t="s">
        <v>716</v>
      </c>
      <c r="F178" s="12">
        <v>1</v>
      </c>
      <c r="G178" s="13">
        <v>2704.3</v>
      </c>
      <c r="H178" s="13">
        <f>F178*G178</f>
      </c>
      <c r="I178" s="13">
        <f>H178*0.36</f>
      </c>
      <c r="J178" s="13">
        <f>H178-I178</f>
      </c>
      <c r="K178" s="14">
        <f>IFERROR(J178/H178,0)</f>
      </c>
    </row>
    <row customHeight="true" ht="15" r="179">
      <c r="A179" s="3" t="s">
        <v>717</v>
      </c>
      <c r="B179" s="4">
        <v>45372</v>
      </c>
      <c r="C179" s="5" t="s">
        <v>718</v>
      </c>
      <c r="D179" s="5" t="s">
        <v>719</v>
      </c>
      <c r="E179" s="5" t="s">
        <v>720</v>
      </c>
      <c r="F179" s="6">
        <v>10</v>
      </c>
      <c r="G179" s="7">
        <v>1202.95</v>
      </c>
      <c r="H179" s="7">
        <f>F179*G179</f>
      </c>
      <c r="I179" s="7">
        <f>H179*0.59</f>
      </c>
      <c r="J179" s="7">
        <f>H179-I179</f>
      </c>
      <c r="K179" s="8">
        <f>IFERROR(J179/H179,0)</f>
      </c>
    </row>
    <row customHeight="true" ht="15" r="180">
      <c r="A180" s="9" t="s">
        <v>721</v>
      </c>
      <c r="B180" s="10">
        <v>45477</v>
      </c>
      <c r="C180" s="11" t="s">
        <v>722</v>
      </c>
      <c r="D180" s="11" t="s">
        <v>723</v>
      </c>
      <c r="E180" s="11" t="s">
        <v>724</v>
      </c>
      <c r="F180" s="12">
        <v>10</v>
      </c>
      <c r="G180" s="13">
        <v>845.92</v>
      </c>
      <c r="H180" s="13">
        <f>F180*G180</f>
      </c>
      <c r="I180" s="13">
        <f>H180*0.64</f>
      </c>
      <c r="J180" s="13">
        <f>H180-I180</f>
      </c>
      <c r="K180" s="14">
        <f>IFERROR(J180/H180,0)</f>
      </c>
    </row>
    <row customHeight="true" ht="15" r="181">
      <c r="A181" s="3" t="s">
        <v>725</v>
      </c>
      <c r="B181" s="4">
        <v>45479</v>
      </c>
      <c r="C181" s="5" t="s">
        <v>726</v>
      </c>
      <c r="D181" s="5" t="s">
        <v>727</v>
      </c>
      <c r="E181" s="5" t="s">
        <v>728</v>
      </c>
      <c r="F181" s="6">
        <v>5</v>
      </c>
      <c r="G181" s="7">
        <v>2045.6</v>
      </c>
      <c r="H181" s="7">
        <f>F181*G181</f>
      </c>
      <c r="I181" s="7">
        <f>H181*0.69</f>
      </c>
      <c r="J181" s="7">
        <f>H181-I181</f>
      </c>
      <c r="K181" s="8">
        <f>IFERROR(J181/H181,0)</f>
      </c>
    </row>
    <row customHeight="true" ht="15" r="182">
      <c r="A182" s="9" t="s">
        <v>729</v>
      </c>
      <c r="B182" s="10">
        <v>45567</v>
      </c>
      <c r="C182" s="11" t="s">
        <v>730</v>
      </c>
      <c r="D182" s="11" t="s">
        <v>731</v>
      </c>
      <c r="E182" s="11" t="s">
        <v>732</v>
      </c>
      <c r="F182" s="12">
        <v>6</v>
      </c>
      <c r="G182" s="13">
        <v>457.88</v>
      </c>
      <c r="H182" s="13">
        <f>F182*G182</f>
      </c>
      <c r="I182" s="13">
        <f>H182*0.5</f>
      </c>
      <c r="J182" s="13">
        <f>H182-I182</f>
      </c>
      <c r="K182" s="14">
        <f>IFERROR(J182/H182,0)</f>
      </c>
    </row>
    <row customHeight="true" ht="15" r="183">
      <c r="A183" s="3" t="s">
        <v>733</v>
      </c>
      <c r="B183" s="4">
        <v>45583</v>
      </c>
      <c r="C183" s="5" t="s">
        <v>734</v>
      </c>
      <c r="D183" s="5" t="s">
        <v>735</v>
      </c>
      <c r="E183" s="5" t="s">
        <v>736</v>
      </c>
      <c r="F183" s="6">
        <v>9</v>
      </c>
      <c r="G183" s="7">
        <v>1960.23</v>
      </c>
      <c r="H183" s="7">
        <f>F183*G183</f>
      </c>
      <c r="I183" s="7">
        <f>H183*0.38</f>
      </c>
      <c r="J183" s="7">
        <f>H183-I183</f>
      </c>
      <c r="K183" s="8">
        <f>IFERROR(J183/H183,0)</f>
      </c>
    </row>
    <row customHeight="true" ht="15" r="184">
      <c r="A184" s="9" t="s">
        <v>737</v>
      </c>
      <c r="B184" s="10">
        <v>45450</v>
      </c>
      <c r="C184" s="11" t="s">
        <v>738</v>
      </c>
      <c r="D184" s="11" t="s">
        <v>739</v>
      </c>
      <c r="E184" s="11" t="s">
        <v>740</v>
      </c>
      <c r="F184" s="12">
        <v>1</v>
      </c>
      <c r="G184" s="13">
        <v>2431.96</v>
      </c>
      <c r="H184" s="13">
        <f>F184*G184</f>
      </c>
      <c r="I184" s="13">
        <f>H184*0.37</f>
      </c>
      <c r="J184" s="13">
        <f>H184-I184</f>
      </c>
      <c r="K184" s="14">
        <f>IFERROR(J184/H184,0)</f>
      </c>
    </row>
    <row customHeight="true" ht="15" r="185">
      <c r="A185" s="3" t="s">
        <v>741</v>
      </c>
      <c r="B185" s="4">
        <v>45330</v>
      </c>
      <c r="C185" s="5" t="s">
        <v>742</v>
      </c>
      <c r="D185" s="5" t="s">
        <v>743</v>
      </c>
      <c r="E185" s="5" t="s">
        <v>744</v>
      </c>
      <c r="F185" s="6">
        <v>9</v>
      </c>
      <c r="G185" s="7">
        <v>4955.28</v>
      </c>
      <c r="H185" s="7">
        <f>F185*G185</f>
      </c>
      <c r="I185" s="7">
        <f>H185*0.38</f>
      </c>
      <c r="J185" s="7">
        <f>H185-I185</f>
      </c>
      <c r="K185" s="8">
        <f>IFERROR(J185/H185,0)</f>
      </c>
    </row>
    <row customHeight="true" ht="15" r="186">
      <c r="A186" s="9" t="s">
        <v>745</v>
      </c>
      <c r="B186" s="10">
        <v>45627</v>
      </c>
      <c r="C186" s="11" t="s">
        <v>746</v>
      </c>
      <c r="D186" s="11" t="s">
        <v>747</v>
      </c>
      <c r="E186" s="11" t="s">
        <v>748</v>
      </c>
      <c r="F186" s="12">
        <v>7</v>
      </c>
      <c r="G186" s="13">
        <v>632.34</v>
      </c>
      <c r="H186" s="13">
        <f>F186*G186</f>
      </c>
      <c r="I186" s="13">
        <f>H186*0.44</f>
      </c>
      <c r="J186" s="13">
        <f>H186-I186</f>
      </c>
      <c r="K186" s="14">
        <f>IFERROR(J186/H186,0)</f>
      </c>
    </row>
    <row customHeight="true" ht="15" r="187">
      <c r="A187" s="3" t="s">
        <v>749</v>
      </c>
      <c r="B187" s="4">
        <v>45485</v>
      </c>
      <c r="C187" s="5" t="s">
        <v>750</v>
      </c>
      <c r="D187" s="5" t="s">
        <v>751</v>
      </c>
      <c r="E187" s="5" t="s">
        <v>752</v>
      </c>
      <c r="F187" s="6">
        <v>5</v>
      </c>
      <c r="G187" s="7">
        <v>150.67</v>
      </c>
      <c r="H187" s="7">
        <f>F187*G187</f>
      </c>
      <c r="I187" s="7">
        <f>H187*0.38</f>
      </c>
      <c r="J187" s="7">
        <f>H187-I187</f>
      </c>
      <c r="K187" s="8">
        <f>IFERROR(J187/H187,0)</f>
      </c>
    </row>
    <row customHeight="true" ht="15" r="188">
      <c r="A188" s="9" t="s">
        <v>753</v>
      </c>
      <c r="B188" s="10">
        <v>45502</v>
      </c>
      <c r="C188" s="11" t="s">
        <v>754</v>
      </c>
      <c r="D188" s="11" t="s">
        <v>755</v>
      </c>
      <c r="E188" s="11" t="s">
        <v>756</v>
      </c>
      <c r="F188" s="12">
        <v>1</v>
      </c>
      <c r="G188" s="13">
        <v>3841.5</v>
      </c>
      <c r="H188" s="13">
        <f>F188*G188</f>
      </c>
      <c r="I188" s="13">
        <f>H188*0.62</f>
      </c>
      <c r="J188" s="13">
        <f>H188-I188</f>
      </c>
      <c r="K188" s="14">
        <f>IFERROR(J188/H188,0)</f>
      </c>
    </row>
    <row customHeight="true" ht="15" r="189">
      <c r="A189" s="3" t="s">
        <v>757</v>
      </c>
      <c r="B189" s="4">
        <v>45379</v>
      </c>
      <c r="C189" s="5" t="s">
        <v>758</v>
      </c>
      <c r="D189" s="5" t="s">
        <v>759</v>
      </c>
      <c r="E189" s="5" t="s">
        <v>760</v>
      </c>
      <c r="F189" s="6">
        <v>3</v>
      </c>
      <c r="G189" s="7">
        <v>1881.67</v>
      </c>
      <c r="H189" s="7">
        <f>F189*G189</f>
      </c>
      <c r="I189" s="7">
        <f>H189*0.47</f>
      </c>
      <c r="J189" s="7">
        <f>H189-I189</f>
      </c>
      <c r="K189" s="8">
        <f>IFERROR(J189/H189,0)</f>
      </c>
    </row>
    <row customHeight="true" ht="15" r="190">
      <c r="A190" s="9" t="s">
        <v>761</v>
      </c>
      <c r="B190" s="10">
        <v>45357</v>
      </c>
      <c r="C190" s="11" t="s">
        <v>762</v>
      </c>
      <c r="D190" s="11" t="s">
        <v>763</v>
      </c>
      <c r="E190" s="11" t="s">
        <v>764</v>
      </c>
      <c r="F190" s="12">
        <v>1</v>
      </c>
      <c r="G190" s="13">
        <v>1180.94</v>
      </c>
      <c r="H190" s="13">
        <f>F190*G190</f>
      </c>
      <c r="I190" s="13">
        <f>H190*0.67</f>
      </c>
      <c r="J190" s="13">
        <f>H190-I190</f>
      </c>
      <c r="K190" s="14">
        <f>IFERROR(J190/H190,0)</f>
      </c>
    </row>
    <row customHeight="true" ht="15" r="191">
      <c r="A191" s="3" t="s">
        <v>765</v>
      </c>
      <c r="B191" s="4">
        <v>45618</v>
      </c>
      <c r="C191" s="5" t="s">
        <v>766</v>
      </c>
      <c r="D191" s="5" t="s">
        <v>767</v>
      </c>
      <c r="E191" s="5" t="s">
        <v>768</v>
      </c>
      <c r="F191" s="6">
        <v>6</v>
      </c>
      <c r="G191" s="7">
        <v>722.7</v>
      </c>
      <c r="H191" s="7">
        <f>F191*G191</f>
      </c>
      <c r="I191" s="7">
        <f>H191*0.42</f>
      </c>
      <c r="J191" s="7">
        <f>H191-I191</f>
      </c>
      <c r="K191" s="8">
        <f>IFERROR(J191/H191,0)</f>
      </c>
    </row>
    <row customHeight="true" ht="15" r="192">
      <c r="A192" s="9" t="s">
        <v>769</v>
      </c>
      <c r="B192" s="10">
        <v>45487</v>
      </c>
      <c r="C192" s="11" t="s">
        <v>770</v>
      </c>
      <c r="D192" s="11" t="s">
        <v>771</v>
      </c>
      <c r="E192" s="11" t="s">
        <v>772</v>
      </c>
      <c r="F192" s="12">
        <v>9</v>
      </c>
      <c r="G192" s="13">
        <v>1993.13</v>
      </c>
      <c r="H192" s="13">
        <f>F192*G192</f>
      </c>
      <c r="I192" s="13">
        <f>H192*0.66</f>
      </c>
      <c r="J192" s="13">
        <f>H192-I192</f>
      </c>
      <c r="K192" s="14">
        <f>IFERROR(J192/H192,0)</f>
      </c>
    </row>
    <row customHeight="true" ht="15" r="193">
      <c r="A193" s="3" t="s">
        <v>773</v>
      </c>
      <c r="B193" s="4">
        <v>45568</v>
      </c>
      <c r="C193" s="5" t="s">
        <v>774</v>
      </c>
      <c r="D193" s="5" t="s">
        <v>775</v>
      </c>
      <c r="E193" s="5" t="s">
        <v>776</v>
      </c>
      <c r="F193" s="6">
        <v>3</v>
      </c>
      <c r="G193" s="7">
        <v>3221.07</v>
      </c>
      <c r="H193" s="7">
        <f>F193*G193</f>
      </c>
      <c r="I193" s="7">
        <f>H193*0.58</f>
      </c>
      <c r="J193" s="7">
        <f>H193-I193</f>
      </c>
      <c r="K193" s="8">
        <f>IFERROR(J193/H193,0)</f>
      </c>
    </row>
    <row customHeight="true" ht="15" r="194">
      <c r="A194" s="9" t="s">
        <v>777</v>
      </c>
      <c r="B194" s="10">
        <v>45472</v>
      </c>
      <c r="C194" s="11" t="s">
        <v>778</v>
      </c>
      <c r="D194" s="11" t="s">
        <v>779</v>
      </c>
      <c r="E194" s="11" t="s">
        <v>780</v>
      </c>
      <c r="F194" s="12">
        <v>7</v>
      </c>
      <c r="G194" s="13">
        <v>875.21</v>
      </c>
      <c r="H194" s="13">
        <f>F194*G194</f>
      </c>
      <c r="I194" s="13">
        <f>H194*0.32</f>
      </c>
      <c r="J194" s="13">
        <f>H194-I194</f>
      </c>
      <c r="K194" s="14">
        <f>IFERROR(J194/H194,0)</f>
      </c>
    </row>
    <row customHeight="true" ht="15" r="195">
      <c r="A195" s="3" t="s">
        <v>781</v>
      </c>
      <c r="B195" s="4">
        <v>45508</v>
      </c>
      <c r="C195" s="5" t="s">
        <v>782</v>
      </c>
      <c r="D195" s="5" t="s">
        <v>783</v>
      </c>
      <c r="E195" s="5" t="s">
        <v>784</v>
      </c>
      <c r="F195" s="6">
        <v>3</v>
      </c>
      <c r="G195" s="7">
        <v>3148.27</v>
      </c>
      <c r="H195" s="7">
        <f>F195*G195</f>
      </c>
      <c r="I195" s="7">
        <f>H195*0.62</f>
      </c>
      <c r="J195" s="7">
        <f>H195-I195</f>
      </c>
      <c r="K195" s="8">
        <f>IFERROR(J195/H195,0)</f>
      </c>
    </row>
    <row customHeight="true" ht="15" r="196">
      <c r="A196" s="9" t="s">
        <v>785</v>
      </c>
      <c r="B196" s="10">
        <v>45652</v>
      </c>
      <c r="C196" s="11" t="s">
        <v>786</v>
      </c>
      <c r="D196" s="11" t="s">
        <v>787</v>
      </c>
      <c r="E196" s="11" t="s">
        <v>788</v>
      </c>
      <c r="F196" s="12">
        <v>1</v>
      </c>
      <c r="G196" s="13">
        <v>4634.06</v>
      </c>
      <c r="H196" s="13">
        <f>F196*G196</f>
      </c>
      <c r="I196" s="13">
        <f>H196*0.62</f>
      </c>
      <c r="J196" s="13">
        <f>H196-I196</f>
      </c>
      <c r="K196" s="14">
        <f>IFERROR(J196/H196,0)</f>
      </c>
    </row>
    <row customHeight="true" ht="15" r="197">
      <c r="A197" s="3" t="s">
        <v>789</v>
      </c>
      <c r="B197" s="4">
        <v>45460</v>
      </c>
      <c r="C197" s="5" t="s">
        <v>790</v>
      </c>
      <c r="D197" s="5" t="s">
        <v>791</v>
      </c>
      <c r="E197" s="5" t="s">
        <v>792</v>
      </c>
      <c r="F197" s="6">
        <v>5</v>
      </c>
      <c r="G197" s="7">
        <v>4667.69</v>
      </c>
      <c r="H197" s="7">
        <f>F197*G197</f>
      </c>
      <c r="I197" s="7">
        <f>H197*0.65</f>
      </c>
      <c r="J197" s="7">
        <f>H197-I197</f>
      </c>
      <c r="K197" s="8">
        <f>IFERROR(J197/H197,0)</f>
      </c>
    </row>
    <row customHeight="true" ht="15" r="198">
      <c r="A198" s="9" t="s">
        <v>793</v>
      </c>
      <c r="B198" s="10">
        <v>45428</v>
      </c>
      <c r="C198" s="11" t="s">
        <v>794</v>
      </c>
      <c r="D198" s="11" t="s">
        <v>795</v>
      </c>
      <c r="E198" s="11" t="s">
        <v>796</v>
      </c>
      <c r="F198" s="12">
        <v>3</v>
      </c>
      <c r="G198" s="13">
        <v>314.69</v>
      </c>
      <c r="H198" s="13">
        <f>F198*G198</f>
      </c>
      <c r="I198" s="13">
        <f>H198*0.36</f>
      </c>
      <c r="J198" s="13">
        <f>H198-I198</f>
      </c>
      <c r="K198" s="14">
        <f>IFERROR(J198/H198,0)</f>
      </c>
    </row>
    <row customHeight="true" ht="15" r="199">
      <c r="A199" s="3" t="s">
        <v>797</v>
      </c>
      <c r="B199" s="4">
        <v>45554</v>
      </c>
      <c r="C199" s="5" t="s">
        <v>798</v>
      </c>
      <c r="D199" s="5" t="s">
        <v>799</v>
      </c>
      <c r="E199" s="5" t="s">
        <v>800</v>
      </c>
      <c r="F199" s="6">
        <v>10</v>
      </c>
      <c r="G199" s="7">
        <v>1224.1</v>
      </c>
      <c r="H199" s="7">
        <f>F199*G199</f>
      </c>
      <c r="I199" s="7">
        <f>H199*0.37</f>
      </c>
      <c r="J199" s="7">
        <f>H199-I199</f>
      </c>
      <c r="K199" s="8">
        <f>IFERROR(J199/H199,0)</f>
      </c>
    </row>
    <row customHeight="true" ht="15" r="200">
      <c r="A200" s="9" t="s">
        <v>801</v>
      </c>
      <c r="B200" s="10">
        <v>45576</v>
      </c>
      <c r="C200" s="11" t="s">
        <v>802</v>
      </c>
      <c r="D200" s="11" t="s">
        <v>803</v>
      </c>
      <c r="E200" s="11" t="s">
        <v>804</v>
      </c>
      <c r="F200" s="12">
        <v>4</v>
      </c>
      <c r="G200" s="13">
        <v>2570.86</v>
      </c>
      <c r="H200" s="13">
        <f>F200*G200</f>
      </c>
      <c r="I200" s="13">
        <f>H200*0.57</f>
      </c>
      <c r="J200" s="13">
        <f>H200-I200</f>
      </c>
      <c r="K200" s="14">
        <f>IFERROR(J200/H200,0)</f>
      </c>
    </row>
    <row customHeight="true" ht="15" r="201">
      <c r="A201" s="3" t="s">
        <v>805</v>
      </c>
      <c r="B201" s="4">
        <v>45326</v>
      </c>
      <c r="C201" s="5" t="s">
        <v>806</v>
      </c>
      <c r="D201" s="5" t="s">
        <v>807</v>
      </c>
      <c r="E201" s="5" t="s">
        <v>808</v>
      </c>
      <c r="F201" s="6">
        <v>1</v>
      </c>
      <c r="G201" s="7">
        <v>1932.48</v>
      </c>
      <c r="H201" s="7">
        <f>F201*G201</f>
      </c>
      <c r="I201" s="7">
        <f>H201*0.32</f>
      </c>
      <c r="J201" s="7">
        <f>H201-I201</f>
      </c>
      <c r="K201" s="8">
        <f>IFERROR(J201/H201,0)</f>
      </c>
    </row>
    <row customHeight="true" ht="15" r="202">
      <c r="A202" s="9" t="s">
        <v>809</v>
      </c>
      <c r="B202" s="10">
        <v>45324</v>
      </c>
      <c r="C202" s="11" t="s">
        <v>810</v>
      </c>
      <c r="D202" s="11" t="s">
        <v>811</v>
      </c>
      <c r="E202" s="11" t="s">
        <v>812</v>
      </c>
      <c r="F202" s="12">
        <v>8</v>
      </c>
      <c r="G202" s="13">
        <v>3072.05</v>
      </c>
      <c r="H202" s="13">
        <f>F202*G202</f>
      </c>
      <c r="I202" s="13">
        <f>H202*0.54</f>
      </c>
      <c r="J202" s="13">
        <f>H202-I202</f>
      </c>
      <c r="K202" s="14">
        <f>IFERROR(J202/H202,0)</f>
      </c>
    </row>
    <row customHeight="true" ht="15" r="203">
      <c r="A203" s="15" t="s">
        <v>813</v>
      </c>
      <c r="B203" s="15"/>
      <c r="C203" s="15"/>
      <c r="D203" s="15"/>
      <c r="E203" s="15"/>
      <c r="F203" s="16"/>
      <c r="G203" s="16"/>
      <c r="H203" s="17">
        <f>SUM(H3:H202)</f>
      </c>
      <c r="I203" s="17">
        <f>SUM(I3:I202)</f>
      </c>
      <c r="J203" s="17">
        <f>SUM(J3:J202)</f>
      </c>
      <c r="K203" s="18">
        <f>IFERROR(J203/H203,0)</f>
      </c>
    </row>
  </sheetData>
  <mergeCells>
    <mergeCell ref="A1:K1"/>
    <mergeCell ref="A203:G20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5"/>
    <col collapsed="false" customWidth="true" hidden="false" max="3" min="3" style="0" width="12"/>
    <col collapsed="false" customWidth="true" hidden="false" max="4" min="4" style="0" width="51"/>
    <col collapsed="false" customWidth="true" hidden="false" max="5" min="5" style="0" width="51"/>
    <col collapsed="false" customWidth="true" hidden="false" max="6" min="6" style="0" width="51"/>
  </cols>
  <sheetData>
    <row customHeight="true" ht="38" r="1">
      <c r="A1" s="19" t="s">
        <v>814</v>
      </c>
    </row>
    <row customHeight="true" ht="29" r="2">
      <c r="A2" s="20" t="s">
        <v>815</v>
      </c>
      <c r="B2" s="20" t="s">
        <v>816</v>
      </c>
      <c r="C2" s="20" t="s">
        <v>817</v>
      </c>
      <c r="D2" s="20" t="s">
        <v>818</v>
      </c>
      <c r="E2" s="20" t="s">
        <v>819</v>
      </c>
      <c r="F2" s="20" t="s">
        <v>820</v>
      </c>
    </row>
    <row customHeight="true" ht="15" r="3">
      <c r="A3" s="21" t="s">
        <v>821</v>
      </c>
      <c r="B3" s="21" t="s">
        <v>822</v>
      </c>
      <c r="C3" s="21" t="s">
        <v>823</v>
      </c>
      <c r="D3" s="22">
        <f>SUMIFS('销售数据明细'!$F:$F, '销售数据明细'!$B:$B, "&gt;="&amp;DATE(2024,LEFT(A3,LEN(A3)-1),1), '销售数据明细'!$B:$B, "&lt;="&amp;EOMONTH(DATE(2024,LEFT(A3,LEN(A3)-1),1),0), '销售数据明细'!$C:$C, B3, '销售数据明细'!$D:$D, C3)</f>
      </c>
      <c r="E3" s="23">
        <f>SUMIFS('销售数据明细'!$H:$H, '销售数据明细'!$B:$B, "&gt;="&amp;DATE(2024,LEFT(A3,LEN(A3)-1),1), '销售数据明细'!$B:$B, "&lt;="&amp;EOMONTH(DATE(2024,LEFT(A3,LEN(A3)-1),1),0), '销售数据明细'!$C:$C, B3, '销售数据明细'!$D:$D, C3)</f>
      </c>
      <c r="F3" s="23">
        <f>SUMIFS('销售数据明细'!$J:$J, '销售数据明细'!$B:$B, "&gt;="&amp;DATE(2024,LEFT(A3,LEN(A3)-1),1), '销售数据明细'!$B:$B, "&lt;="&amp;EOMONTH(DATE(2024,LEFT(A3,LEN(A3)-1),1),0), '销售数据明细'!$C:$C, B3, '销售数据明细'!$D:$D, C3)</f>
      </c>
    </row>
    <row customHeight="true" ht="15" r="4">
      <c r="A4" s="24" t="s">
        <v>824</v>
      </c>
      <c r="B4" s="24" t="s">
        <v>825</v>
      </c>
      <c r="C4" s="24" t="s">
        <v>826</v>
      </c>
      <c r="D4" s="25">
        <f>SUMIFS('销售数据明细'!$F:$F, '销售数据明细'!$B:$B, "&gt;="&amp;DATE(2024,LEFT(A4,LEN(A4)-1),1), '销售数据明细'!$B:$B, "&lt;="&amp;EOMONTH(DATE(2024,LEFT(A4,LEN(A4)-1),1),0), '销售数据明细'!$C:$C, B4, '销售数据明细'!$D:$D, C4)</f>
      </c>
      <c r="E4" s="26">
        <f>SUMIFS('销售数据明细'!$H:$H, '销售数据明细'!$B:$B, "&gt;="&amp;DATE(2024,LEFT(A4,LEN(A4)-1),1), '销售数据明细'!$B:$B, "&lt;="&amp;EOMONTH(DATE(2024,LEFT(A4,LEN(A4)-1),1),0), '销售数据明细'!$C:$C, B4, '销售数据明细'!$D:$D, C4)</f>
      </c>
      <c r="F4" s="26">
        <f>SUMIFS('销售数据明细'!$J:$J, '销售数据明细'!$B:$B, "&gt;="&amp;DATE(2024,LEFT(A4,LEN(A4)-1),1), '销售数据明细'!$B:$B, "&lt;="&amp;EOMONTH(DATE(2024,LEFT(A4,LEN(A4)-1),1),0), '销售数据明细'!$C:$C, B4, '销售数据明细'!$D:$D, C4)</f>
      </c>
    </row>
    <row customHeight="true" ht="15" r="5">
      <c r="A5" s="21" t="s">
        <v>827</v>
      </c>
      <c r="B5" s="21" t="s">
        <v>828</v>
      </c>
      <c r="C5" s="21" t="s">
        <v>829</v>
      </c>
      <c r="D5" s="22">
        <f>SUMIFS('销售数据明细'!$F:$F, '销售数据明细'!$B:$B, "&gt;="&amp;DATE(2024,LEFT(A5,LEN(A5)-1),1), '销售数据明细'!$B:$B, "&lt;="&amp;EOMONTH(DATE(2024,LEFT(A5,LEN(A5)-1),1),0), '销售数据明细'!$C:$C, B5, '销售数据明细'!$D:$D, C5)</f>
      </c>
      <c r="E5" s="23">
        <f>SUMIFS('销售数据明细'!$H:$H, '销售数据明细'!$B:$B, "&gt;="&amp;DATE(2024,LEFT(A5,LEN(A5)-1),1), '销售数据明细'!$B:$B, "&lt;="&amp;EOMONTH(DATE(2024,LEFT(A5,LEN(A5)-1),1),0), '销售数据明细'!$C:$C, B5, '销售数据明细'!$D:$D, C5)</f>
      </c>
      <c r="F5" s="23">
        <f>SUMIFS('销售数据明细'!$J:$J, '销售数据明细'!$B:$B, "&gt;="&amp;DATE(2024,LEFT(A5,LEN(A5)-1),1), '销售数据明细'!$B:$B, "&lt;="&amp;EOMONTH(DATE(2024,LEFT(A5,LEN(A5)-1),1),0), '销售数据明细'!$C:$C, B5, '销售数据明细'!$D:$D, C5)</f>
      </c>
    </row>
    <row customHeight="true" ht="15" r="6">
      <c r="A6" s="24" t="s">
        <v>830</v>
      </c>
      <c r="B6" s="24" t="s">
        <v>831</v>
      </c>
      <c r="C6" s="24" t="s">
        <v>832</v>
      </c>
      <c r="D6" s="25">
        <f>SUMIFS('销售数据明细'!$F:$F, '销售数据明细'!$B:$B, "&gt;="&amp;DATE(2024,LEFT(A6,LEN(A6)-1),1), '销售数据明细'!$B:$B, "&lt;="&amp;EOMONTH(DATE(2024,LEFT(A6,LEN(A6)-1),1),0), '销售数据明细'!$C:$C, B6, '销售数据明细'!$D:$D, C6)</f>
      </c>
      <c r="E6" s="26">
        <f>SUMIFS('销售数据明细'!$H:$H, '销售数据明细'!$B:$B, "&gt;="&amp;DATE(2024,LEFT(A6,LEN(A6)-1),1), '销售数据明细'!$B:$B, "&lt;="&amp;EOMONTH(DATE(2024,LEFT(A6,LEN(A6)-1),1),0), '销售数据明细'!$C:$C, B6, '销售数据明细'!$D:$D, C6)</f>
      </c>
      <c r="F6" s="26">
        <f>SUMIFS('销售数据明细'!$J:$J, '销售数据明细'!$B:$B, "&gt;="&amp;DATE(2024,LEFT(A6,LEN(A6)-1),1), '销售数据明细'!$B:$B, "&lt;="&amp;EOMONTH(DATE(2024,LEFT(A6,LEN(A6)-1),1),0), '销售数据明细'!$C:$C, B6, '销售数据明细'!$D:$D, C6)</f>
      </c>
    </row>
    <row customHeight="true" ht="15" r="7">
      <c r="A7" s="21" t="s">
        <v>833</v>
      </c>
      <c r="B7" s="21" t="s">
        <v>834</v>
      </c>
      <c r="C7" s="21" t="s">
        <v>835</v>
      </c>
      <c r="D7" s="22">
        <f>SUMIFS('销售数据明细'!$F:$F, '销售数据明细'!$B:$B, "&gt;="&amp;DATE(2024,LEFT(A7,LEN(A7)-1),1), '销售数据明细'!$B:$B, "&lt;="&amp;EOMONTH(DATE(2024,LEFT(A7,LEN(A7)-1),1),0), '销售数据明细'!$C:$C, B7, '销售数据明细'!$D:$D, C7)</f>
      </c>
      <c r="E7" s="23">
        <f>SUMIFS('销售数据明细'!$H:$H, '销售数据明细'!$B:$B, "&gt;="&amp;DATE(2024,LEFT(A7,LEN(A7)-1),1), '销售数据明细'!$B:$B, "&lt;="&amp;EOMONTH(DATE(2024,LEFT(A7,LEN(A7)-1),1),0), '销售数据明细'!$C:$C, B7, '销售数据明细'!$D:$D, C7)</f>
      </c>
      <c r="F7" s="23">
        <f>SUMIFS('销售数据明细'!$J:$J, '销售数据明细'!$B:$B, "&gt;="&amp;DATE(2024,LEFT(A7,LEN(A7)-1),1), '销售数据明细'!$B:$B, "&lt;="&amp;EOMONTH(DATE(2024,LEFT(A7,LEN(A7)-1),1),0), '销售数据明细'!$C:$C, B7, '销售数据明细'!$D:$D, C7)</f>
      </c>
    </row>
    <row customHeight="true" ht="15" r="8">
      <c r="A8" s="24" t="s">
        <v>836</v>
      </c>
      <c r="B8" s="24" t="s">
        <v>837</v>
      </c>
      <c r="C8" s="24" t="s">
        <v>838</v>
      </c>
      <c r="D8" s="25">
        <f>SUMIFS('销售数据明细'!$F:$F, '销售数据明细'!$B:$B, "&gt;="&amp;DATE(2024,LEFT(A8,LEN(A8)-1),1), '销售数据明细'!$B:$B, "&lt;="&amp;EOMONTH(DATE(2024,LEFT(A8,LEN(A8)-1),1),0), '销售数据明细'!$C:$C, B8, '销售数据明细'!$D:$D, C8)</f>
      </c>
      <c r="E8" s="26">
        <f>SUMIFS('销售数据明细'!$H:$H, '销售数据明细'!$B:$B, "&gt;="&amp;DATE(2024,LEFT(A8,LEN(A8)-1),1), '销售数据明细'!$B:$B, "&lt;="&amp;EOMONTH(DATE(2024,LEFT(A8,LEN(A8)-1),1),0), '销售数据明细'!$C:$C, B8, '销售数据明细'!$D:$D, C8)</f>
      </c>
      <c r="F8" s="26">
        <f>SUMIFS('销售数据明细'!$J:$J, '销售数据明细'!$B:$B, "&gt;="&amp;DATE(2024,LEFT(A8,LEN(A8)-1),1), '销售数据明细'!$B:$B, "&lt;="&amp;EOMONTH(DATE(2024,LEFT(A8,LEN(A8)-1),1),0), '销售数据明细'!$C:$C, B8, '销售数据明细'!$D:$D, C8)</f>
      </c>
    </row>
    <row customHeight="true" ht="15" r="9">
      <c r="A9" s="21" t="s">
        <v>839</v>
      </c>
      <c r="B9" s="21" t="s">
        <v>840</v>
      </c>
      <c r="C9" s="21" t="s">
        <v>841</v>
      </c>
      <c r="D9" s="22">
        <f>SUMIFS('销售数据明细'!$F:$F, '销售数据明细'!$B:$B, "&gt;="&amp;DATE(2024,LEFT(A9,LEN(A9)-1),1), '销售数据明细'!$B:$B, "&lt;="&amp;EOMONTH(DATE(2024,LEFT(A9,LEN(A9)-1),1),0), '销售数据明细'!$C:$C, B9, '销售数据明细'!$D:$D, C9)</f>
      </c>
      <c r="E9" s="23">
        <f>SUMIFS('销售数据明细'!$H:$H, '销售数据明细'!$B:$B, "&gt;="&amp;DATE(2024,LEFT(A9,LEN(A9)-1),1), '销售数据明细'!$B:$B, "&lt;="&amp;EOMONTH(DATE(2024,LEFT(A9,LEN(A9)-1),1),0), '销售数据明细'!$C:$C, B9, '销售数据明细'!$D:$D, C9)</f>
      </c>
      <c r="F9" s="23">
        <f>SUMIFS('销售数据明细'!$J:$J, '销售数据明细'!$B:$B, "&gt;="&amp;DATE(2024,LEFT(A9,LEN(A9)-1),1), '销售数据明细'!$B:$B, "&lt;="&amp;EOMONTH(DATE(2024,LEFT(A9,LEN(A9)-1),1),0), '销售数据明细'!$C:$C, B9, '销售数据明细'!$D:$D, C9)</f>
      </c>
    </row>
    <row customHeight="true" ht="15" r="10">
      <c r="A10" s="24" t="s">
        <v>842</v>
      </c>
      <c r="B10" s="24" t="s">
        <v>843</v>
      </c>
      <c r="C10" s="24" t="s">
        <v>844</v>
      </c>
      <c r="D10" s="25">
        <f>SUMIFS('销售数据明细'!$F:$F, '销售数据明细'!$B:$B, "&gt;="&amp;DATE(2024,LEFT(A10,LEN(A10)-1),1), '销售数据明细'!$B:$B, "&lt;="&amp;EOMONTH(DATE(2024,LEFT(A10,LEN(A10)-1),1),0), '销售数据明细'!$C:$C, B10, '销售数据明细'!$D:$D, C10)</f>
      </c>
      <c r="E10" s="26">
        <f>SUMIFS('销售数据明细'!$H:$H, '销售数据明细'!$B:$B, "&gt;="&amp;DATE(2024,LEFT(A10,LEN(A10)-1),1), '销售数据明细'!$B:$B, "&lt;="&amp;EOMONTH(DATE(2024,LEFT(A10,LEN(A10)-1),1),0), '销售数据明细'!$C:$C, B10, '销售数据明细'!$D:$D, C10)</f>
      </c>
      <c r="F10" s="26">
        <f>SUMIFS('销售数据明细'!$J:$J, '销售数据明细'!$B:$B, "&gt;="&amp;DATE(2024,LEFT(A10,LEN(A10)-1),1), '销售数据明细'!$B:$B, "&lt;="&amp;EOMONTH(DATE(2024,LEFT(A10,LEN(A10)-1),1),0), '销售数据明细'!$C:$C, B10, '销售数据明细'!$D:$D, C10)</f>
      </c>
    </row>
    <row customHeight="true" ht="15" r="11">
      <c r="A11" s="21" t="s">
        <v>845</v>
      </c>
      <c r="B11" s="21" t="s">
        <v>846</v>
      </c>
      <c r="C11" s="21" t="s">
        <v>847</v>
      </c>
      <c r="D11" s="22">
        <f>SUMIFS('销售数据明细'!$F:$F, '销售数据明细'!$B:$B, "&gt;="&amp;DATE(2024,LEFT(A11,LEN(A11)-1),1), '销售数据明细'!$B:$B, "&lt;="&amp;EOMONTH(DATE(2024,LEFT(A11,LEN(A11)-1),1),0), '销售数据明细'!$C:$C, B11, '销售数据明细'!$D:$D, C11)</f>
      </c>
      <c r="E11" s="23">
        <f>SUMIFS('销售数据明细'!$H:$H, '销售数据明细'!$B:$B, "&gt;="&amp;DATE(2024,LEFT(A11,LEN(A11)-1),1), '销售数据明细'!$B:$B, "&lt;="&amp;EOMONTH(DATE(2024,LEFT(A11,LEN(A11)-1),1),0), '销售数据明细'!$C:$C, B11, '销售数据明细'!$D:$D, C11)</f>
      </c>
      <c r="F11" s="23">
        <f>SUMIFS('销售数据明细'!$J:$J, '销售数据明细'!$B:$B, "&gt;="&amp;DATE(2024,LEFT(A11,LEN(A11)-1),1), '销售数据明细'!$B:$B, "&lt;="&amp;EOMONTH(DATE(2024,LEFT(A11,LEN(A11)-1),1),0), '销售数据明细'!$C:$C, B11, '销售数据明细'!$D:$D, C11)</f>
      </c>
    </row>
    <row customHeight="true" ht="15" r="12">
      <c r="A12" s="24" t="s">
        <v>848</v>
      </c>
      <c r="B12" s="24" t="s">
        <v>849</v>
      </c>
      <c r="C12" s="24" t="s">
        <v>850</v>
      </c>
      <c r="D12" s="25">
        <f>SUMIFS('销售数据明细'!$F:$F, '销售数据明细'!$B:$B, "&gt;="&amp;DATE(2024,LEFT(A12,LEN(A12)-1),1), '销售数据明细'!$B:$B, "&lt;="&amp;EOMONTH(DATE(2024,LEFT(A12,LEN(A12)-1),1),0), '销售数据明细'!$C:$C, B12, '销售数据明细'!$D:$D, C12)</f>
      </c>
      <c r="E12" s="26">
        <f>SUMIFS('销售数据明细'!$H:$H, '销售数据明细'!$B:$B, "&gt;="&amp;DATE(2024,LEFT(A12,LEN(A12)-1),1), '销售数据明细'!$B:$B, "&lt;="&amp;EOMONTH(DATE(2024,LEFT(A12,LEN(A12)-1),1),0), '销售数据明细'!$C:$C, B12, '销售数据明细'!$D:$D, C12)</f>
      </c>
      <c r="F12" s="26">
        <f>SUMIFS('销售数据明细'!$J:$J, '销售数据明细'!$B:$B, "&gt;="&amp;DATE(2024,LEFT(A12,LEN(A12)-1),1), '销售数据明细'!$B:$B, "&lt;="&amp;EOMONTH(DATE(2024,LEFT(A12,LEN(A12)-1),1),0), '销售数据明细'!$C:$C, B12, '销售数据明细'!$D:$D, C12)</f>
      </c>
    </row>
    <row customHeight="true" ht="15" r="13">
      <c r="A13" s="21" t="s">
        <v>851</v>
      </c>
      <c r="B13" s="21" t="s">
        <v>852</v>
      </c>
      <c r="C13" s="21" t="s">
        <v>853</v>
      </c>
      <c r="D13" s="22">
        <f>SUMIFS('销售数据明细'!$F:$F, '销售数据明细'!$B:$B, "&gt;="&amp;DATE(2024,LEFT(A13,LEN(A13)-1),1), '销售数据明细'!$B:$B, "&lt;="&amp;EOMONTH(DATE(2024,LEFT(A13,LEN(A13)-1),1),0), '销售数据明细'!$C:$C, B13, '销售数据明细'!$D:$D, C13)</f>
      </c>
      <c r="E13" s="23">
        <f>SUMIFS('销售数据明细'!$H:$H, '销售数据明细'!$B:$B, "&gt;="&amp;DATE(2024,LEFT(A13,LEN(A13)-1),1), '销售数据明细'!$B:$B, "&lt;="&amp;EOMONTH(DATE(2024,LEFT(A13,LEN(A13)-1),1),0), '销售数据明细'!$C:$C, B13, '销售数据明细'!$D:$D, C13)</f>
      </c>
      <c r="F13" s="23">
        <f>SUMIFS('销售数据明细'!$J:$J, '销售数据明细'!$B:$B, "&gt;="&amp;DATE(2024,LEFT(A13,LEN(A13)-1),1), '销售数据明细'!$B:$B, "&lt;="&amp;EOMONTH(DATE(2024,LEFT(A13,LEN(A13)-1),1),0), '销售数据明细'!$C:$C, B13, '销售数据明细'!$D:$D, C13)</f>
      </c>
    </row>
    <row customHeight="true" ht="15" r="14">
      <c r="A14" s="24" t="s">
        <v>854</v>
      </c>
      <c r="B14" s="24" t="s">
        <v>855</v>
      </c>
      <c r="C14" s="24" t="s">
        <v>856</v>
      </c>
      <c r="D14" s="25">
        <f>SUMIFS('销售数据明细'!$F:$F, '销售数据明细'!$B:$B, "&gt;="&amp;DATE(2024,LEFT(A14,LEN(A14)-1),1), '销售数据明细'!$B:$B, "&lt;="&amp;EOMONTH(DATE(2024,LEFT(A14,LEN(A14)-1),1),0), '销售数据明细'!$C:$C, B14, '销售数据明细'!$D:$D, C14)</f>
      </c>
      <c r="E14" s="26">
        <f>SUMIFS('销售数据明细'!$H:$H, '销售数据明细'!$B:$B, "&gt;="&amp;DATE(2024,LEFT(A14,LEN(A14)-1),1), '销售数据明细'!$B:$B, "&lt;="&amp;EOMONTH(DATE(2024,LEFT(A14,LEN(A14)-1),1),0), '销售数据明细'!$C:$C, B14, '销售数据明细'!$D:$D, C14)</f>
      </c>
      <c r="F14" s="26">
        <f>SUMIFS('销售数据明细'!$J:$J, '销售数据明细'!$B:$B, "&gt;="&amp;DATE(2024,LEFT(A14,LEN(A14)-1),1), '销售数据明细'!$B:$B, "&lt;="&amp;EOMONTH(DATE(2024,LEFT(A14,LEN(A14)-1),1),0), '销售数据明细'!$C:$C, B14, '销售数据明细'!$D:$D, C14)</f>
      </c>
    </row>
    <row customHeight="true" ht="15" r="15">
      <c r="A15" s="21" t="s">
        <v>857</v>
      </c>
      <c r="B15" s="21" t="s">
        <v>858</v>
      </c>
      <c r="C15" s="21" t="s">
        <v>859</v>
      </c>
      <c r="D15" s="22">
        <f>SUMIFS('销售数据明细'!$F:$F, '销售数据明细'!$B:$B, "&gt;="&amp;DATE(2024,LEFT(A15,LEN(A15)-1),1), '销售数据明细'!$B:$B, "&lt;="&amp;EOMONTH(DATE(2024,LEFT(A15,LEN(A15)-1),1),0), '销售数据明细'!$C:$C, B15, '销售数据明细'!$D:$D, C15)</f>
      </c>
      <c r="E15" s="23">
        <f>SUMIFS('销售数据明细'!$H:$H, '销售数据明细'!$B:$B, "&gt;="&amp;DATE(2024,LEFT(A15,LEN(A15)-1),1), '销售数据明细'!$B:$B, "&lt;="&amp;EOMONTH(DATE(2024,LEFT(A15,LEN(A15)-1),1),0), '销售数据明细'!$C:$C, B15, '销售数据明细'!$D:$D, C15)</f>
      </c>
      <c r="F15" s="23">
        <f>SUMIFS('销售数据明细'!$J:$J, '销售数据明细'!$B:$B, "&gt;="&amp;DATE(2024,LEFT(A15,LEN(A15)-1),1), '销售数据明细'!$B:$B, "&lt;="&amp;EOMONTH(DATE(2024,LEFT(A15,LEN(A15)-1),1),0), '销售数据明细'!$C:$C, B15, '销售数据明细'!$D:$D, C15)</f>
      </c>
    </row>
    <row customHeight="true" ht="15" r="16">
      <c r="A16" s="24" t="s">
        <v>860</v>
      </c>
      <c r="B16" s="24" t="s">
        <v>861</v>
      </c>
      <c r="C16" s="24" t="s">
        <v>862</v>
      </c>
      <c r="D16" s="25">
        <f>SUMIFS('销售数据明细'!$F:$F, '销售数据明细'!$B:$B, "&gt;="&amp;DATE(2024,LEFT(A16,LEN(A16)-1),1), '销售数据明细'!$B:$B, "&lt;="&amp;EOMONTH(DATE(2024,LEFT(A16,LEN(A16)-1),1),0), '销售数据明细'!$C:$C, B16, '销售数据明细'!$D:$D, C16)</f>
      </c>
      <c r="E16" s="26">
        <f>SUMIFS('销售数据明细'!$H:$H, '销售数据明细'!$B:$B, "&gt;="&amp;DATE(2024,LEFT(A16,LEN(A16)-1),1), '销售数据明细'!$B:$B, "&lt;="&amp;EOMONTH(DATE(2024,LEFT(A16,LEN(A16)-1),1),0), '销售数据明细'!$C:$C, B16, '销售数据明细'!$D:$D, C16)</f>
      </c>
      <c r="F16" s="26">
        <f>SUMIFS('销售数据明细'!$J:$J, '销售数据明细'!$B:$B, "&gt;="&amp;DATE(2024,LEFT(A16,LEN(A16)-1),1), '销售数据明细'!$B:$B, "&lt;="&amp;EOMONTH(DATE(2024,LEFT(A16,LEN(A16)-1),1),0), '销售数据明细'!$C:$C, B16, '销售数据明细'!$D:$D, C16)</f>
      </c>
    </row>
    <row customHeight="true" ht="15" r="17">
      <c r="A17" s="21" t="s">
        <v>863</v>
      </c>
      <c r="B17" s="21" t="s">
        <v>864</v>
      </c>
      <c r="C17" s="21" t="s">
        <v>865</v>
      </c>
      <c r="D17" s="22">
        <f>SUMIFS('销售数据明细'!$F:$F, '销售数据明细'!$B:$B, "&gt;="&amp;DATE(2024,LEFT(A17,LEN(A17)-1),1), '销售数据明细'!$B:$B, "&lt;="&amp;EOMONTH(DATE(2024,LEFT(A17,LEN(A17)-1),1),0), '销售数据明细'!$C:$C, B17, '销售数据明细'!$D:$D, C17)</f>
      </c>
      <c r="E17" s="23">
        <f>SUMIFS('销售数据明细'!$H:$H, '销售数据明细'!$B:$B, "&gt;="&amp;DATE(2024,LEFT(A17,LEN(A17)-1),1), '销售数据明细'!$B:$B, "&lt;="&amp;EOMONTH(DATE(2024,LEFT(A17,LEN(A17)-1),1),0), '销售数据明细'!$C:$C, B17, '销售数据明细'!$D:$D, C17)</f>
      </c>
      <c r="F17" s="23">
        <f>SUMIFS('销售数据明细'!$J:$J, '销售数据明细'!$B:$B, "&gt;="&amp;DATE(2024,LEFT(A17,LEN(A17)-1),1), '销售数据明细'!$B:$B, "&lt;="&amp;EOMONTH(DATE(2024,LEFT(A17,LEN(A17)-1),1),0), '销售数据明细'!$C:$C, B17, '销售数据明细'!$D:$D, C17)</f>
      </c>
    </row>
    <row customHeight="true" ht="15" r="18">
      <c r="A18" s="24" t="s">
        <v>866</v>
      </c>
      <c r="B18" s="24" t="s">
        <v>867</v>
      </c>
      <c r="C18" s="24" t="s">
        <v>868</v>
      </c>
      <c r="D18" s="25">
        <f>SUMIFS('销售数据明细'!$F:$F, '销售数据明细'!$B:$B, "&gt;="&amp;DATE(2024,LEFT(A18,LEN(A18)-1),1), '销售数据明细'!$B:$B, "&lt;="&amp;EOMONTH(DATE(2024,LEFT(A18,LEN(A18)-1),1),0), '销售数据明细'!$C:$C, B18, '销售数据明细'!$D:$D, C18)</f>
      </c>
      <c r="E18" s="26">
        <f>SUMIFS('销售数据明细'!$H:$H, '销售数据明细'!$B:$B, "&gt;="&amp;DATE(2024,LEFT(A18,LEN(A18)-1),1), '销售数据明细'!$B:$B, "&lt;="&amp;EOMONTH(DATE(2024,LEFT(A18,LEN(A18)-1),1),0), '销售数据明细'!$C:$C, B18, '销售数据明细'!$D:$D, C18)</f>
      </c>
      <c r="F18" s="26">
        <f>SUMIFS('销售数据明细'!$J:$J, '销售数据明细'!$B:$B, "&gt;="&amp;DATE(2024,LEFT(A18,LEN(A18)-1),1), '销售数据明细'!$B:$B, "&lt;="&amp;EOMONTH(DATE(2024,LEFT(A18,LEN(A18)-1),1),0), '销售数据明细'!$C:$C, B18, '销售数据明细'!$D:$D, C18)</f>
      </c>
    </row>
    <row customHeight="true" ht="15" r="19">
      <c r="A19" s="21" t="s">
        <v>869</v>
      </c>
      <c r="B19" s="21" t="s">
        <v>870</v>
      </c>
      <c r="C19" s="21" t="s">
        <v>871</v>
      </c>
      <c r="D19" s="22">
        <f>SUMIFS('销售数据明细'!$F:$F, '销售数据明细'!$B:$B, "&gt;="&amp;DATE(2024,LEFT(A19,LEN(A19)-1),1), '销售数据明细'!$B:$B, "&lt;="&amp;EOMONTH(DATE(2024,LEFT(A19,LEN(A19)-1),1),0), '销售数据明细'!$C:$C, B19, '销售数据明细'!$D:$D, C19)</f>
      </c>
      <c r="E19" s="23">
        <f>SUMIFS('销售数据明细'!$H:$H, '销售数据明细'!$B:$B, "&gt;="&amp;DATE(2024,LEFT(A19,LEN(A19)-1),1), '销售数据明细'!$B:$B, "&lt;="&amp;EOMONTH(DATE(2024,LEFT(A19,LEN(A19)-1),1),0), '销售数据明细'!$C:$C, B19, '销售数据明细'!$D:$D, C19)</f>
      </c>
      <c r="F19" s="23">
        <f>SUMIFS('销售数据明细'!$J:$J, '销售数据明细'!$B:$B, "&gt;="&amp;DATE(2024,LEFT(A19,LEN(A19)-1),1), '销售数据明细'!$B:$B, "&lt;="&amp;EOMONTH(DATE(2024,LEFT(A19,LEN(A19)-1),1),0), '销售数据明细'!$C:$C, B19, '销售数据明细'!$D:$D, C19)</f>
      </c>
    </row>
    <row customHeight="true" ht="15" r="20">
      <c r="A20" s="24" t="s">
        <v>872</v>
      </c>
      <c r="B20" s="24" t="s">
        <v>873</v>
      </c>
      <c r="C20" s="24" t="s">
        <v>874</v>
      </c>
      <c r="D20" s="25">
        <f>SUMIFS('销售数据明细'!$F:$F, '销售数据明细'!$B:$B, "&gt;="&amp;DATE(2024,LEFT(A20,LEN(A20)-1),1), '销售数据明细'!$B:$B, "&lt;="&amp;EOMONTH(DATE(2024,LEFT(A20,LEN(A20)-1),1),0), '销售数据明细'!$C:$C, B20, '销售数据明细'!$D:$D, C20)</f>
      </c>
      <c r="E20" s="26">
        <f>SUMIFS('销售数据明细'!$H:$H, '销售数据明细'!$B:$B, "&gt;="&amp;DATE(2024,LEFT(A20,LEN(A20)-1),1), '销售数据明细'!$B:$B, "&lt;="&amp;EOMONTH(DATE(2024,LEFT(A20,LEN(A20)-1),1),0), '销售数据明细'!$C:$C, B20, '销售数据明细'!$D:$D, C20)</f>
      </c>
      <c r="F20" s="26">
        <f>SUMIFS('销售数据明细'!$J:$J, '销售数据明细'!$B:$B, "&gt;="&amp;DATE(2024,LEFT(A20,LEN(A20)-1),1), '销售数据明细'!$B:$B, "&lt;="&amp;EOMONTH(DATE(2024,LEFT(A20,LEN(A20)-1),1),0), '销售数据明细'!$C:$C, B20, '销售数据明细'!$D:$D, C20)</f>
      </c>
    </row>
    <row customHeight="true" ht="15" r="21">
      <c r="A21" s="21" t="s">
        <v>875</v>
      </c>
      <c r="B21" s="21" t="s">
        <v>876</v>
      </c>
      <c r="C21" s="21" t="s">
        <v>877</v>
      </c>
      <c r="D21" s="22">
        <f>SUMIFS('销售数据明细'!$F:$F, '销售数据明细'!$B:$B, "&gt;="&amp;DATE(2024,LEFT(A21,LEN(A21)-1),1), '销售数据明细'!$B:$B, "&lt;="&amp;EOMONTH(DATE(2024,LEFT(A21,LEN(A21)-1),1),0), '销售数据明细'!$C:$C, B21, '销售数据明细'!$D:$D, C21)</f>
      </c>
      <c r="E21" s="23">
        <f>SUMIFS('销售数据明细'!$H:$H, '销售数据明细'!$B:$B, "&gt;="&amp;DATE(2024,LEFT(A21,LEN(A21)-1),1), '销售数据明细'!$B:$B, "&lt;="&amp;EOMONTH(DATE(2024,LEFT(A21,LEN(A21)-1),1),0), '销售数据明细'!$C:$C, B21, '销售数据明细'!$D:$D, C21)</f>
      </c>
      <c r="F21" s="23">
        <f>SUMIFS('销售数据明细'!$J:$J, '销售数据明细'!$B:$B, "&gt;="&amp;DATE(2024,LEFT(A21,LEN(A21)-1),1), '销售数据明细'!$B:$B, "&lt;="&amp;EOMONTH(DATE(2024,LEFT(A21,LEN(A21)-1),1),0), '销售数据明细'!$C:$C, B21, '销售数据明细'!$D:$D, C21)</f>
      </c>
    </row>
    <row customHeight="true" ht="15" r="22">
      <c r="A22" s="24" t="s">
        <v>878</v>
      </c>
      <c r="B22" s="24" t="s">
        <v>879</v>
      </c>
      <c r="C22" s="24" t="s">
        <v>880</v>
      </c>
      <c r="D22" s="25">
        <f>SUMIFS('销售数据明细'!$F:$F, '销售数据明细'!$B:$B, "&gt;="&amp;DATE(2024,LEFT(A22,LEN(A22)-1),1), '销售数据明细'!$B:$B, "&lt;="&amp;EOMONTH(DATE(2024,LEFT(A22,LEN(A22)-1),1),0), '销售数据明细'!$C:$C, B22, '销售数据明细'!$D:$D, C22)</f>
      </c>
      <c r="E22" s="26">
        <f>SUMIFS('销售数据明细'!$H:$H, '销售数据明细'!$B:$B, "&gt;="&amp;DATE(2024,LEFT(A22,LEN(A22)-1),1), '销售数据明细'!$B:$B, "&lt;="&amp;EOMONTH(DATE(2024,LEFT(A22,LEN(A22)-1),1),0), '销售数据明细'!$C:$C, B22, '销售数据明细'!$D:$D, C22)</f>
      </c>
      <c r="F22" s="26">
        <f>SUMIFS('销售数据明细'!$J:$J, '销售数据明细'!$B:$B, "&gt;="&amp;DATE(2024,LEFT(A22,LEN(A22)-1),1), '销售数据明细'!$B:$B, "&lt;="&amp;EOMONTH(DATE(2024,LEFT(A22,LEN(A22)-1),1),0), '销售数据明细'!$C:$C, B22, '销售数据明细'!$D:$D, C22)</f>
      </c>
    </row>
    <row customHeight="true" ht="15" r="23">
      <c r="A23" s="21" t="s">
        <v>881</v>
      </c>
      <c r="B23" s="21" t="s">
        <v>882</v>
      </c>
      <c r="C23" s="21" t="s">
        <v>883</v>
      </c>
      <c r="D23" s="22">
        <f>SUMIFS('销售数据明细'!$F:$F, '销售数据明细'!$B:$B, "&gt;="&amp;DATE(2024,LEFT(A23,LEN(A23)-1),1), '销售数据明细'!$B:$B, "&lt;="&amp;EOMONTH(DATE(2024,LEFT(A23,LEN(A23)-1),1),0), '销售数据明细'!$C:$C, B23, '销售数据明细'!$D:$D, C23)</f>
      </c>
      <c r="E23" s="23">
        <f>SUMIFS('销售数据明细'!$H:$H, '销售数据明细'!$B:$B, "&gt;="&amp;DATE(2024,LEFT(A23,LEN(A23)-1),1), '销售数据明细'!$B:$B, "&lt;="&amp;EOMONTH(DATE(2024,LEFT(A23,LEN(A23)-1),1),0), '销售数据明细'!$C:$C, B23, '销售数据明细'!$D:$D, C23)</f>
      </c>
      <c r="F23" s="23">
        <f>SUMIFS('销售数据明细'!$J:$J, '销售数据明细'!$B:$B, "&gt;="&amp;DATE(2024,LEFT(A23,LEN(A23)-1),1), '销售数据明细'!$B:$B, "&lt;="&amp;EOMONTH(DATE(2024,LEFT(A23,LEN(A23)-1),1),0), '销售数据明细'!$C:$C, B23, '销售数据明细'!$D:$D, C23)</f>
      </c>
    </row>
    <row customHeight="true" ht="15" r="24">
      <c r="A24" s="24" t="s">
        <v>884</v>
      </c>
      <c r="B24" s="24" t="s">
        <v>885</v>
      </c>
      <c r="C24" s="24" t="s">
        <v>886</v>
      </c>
      <c r="D24" s="25">
        <f>SUMIFS('销售数据明细'!$F:$F, '销售数据明细'!$B:$B, "&gt;="&amp;DATE(2024,LEFT(A24,LEN(A24)-1),1), '销售数据明细'!$B:$B, "&lt;="&amp;EOMONTH(DATE(2024,LEFT(A24,LEN(A24)-1),1),0), '销售数据明细'!$C:$C, B24, '销售数据明细'!$D:$D, C24)</f>
      </c>
      <c r="E24" s="26">
        <f>SUMIFS('销售数据明细'!$H:$H, '销售数据明细'!$B:$B, "&gt;="&amp;DATE(2024,LEFT(A24,LEN(A24)-1),1), '销售数据明细'!$B:$B, "&lt;="&amp;EOMONTH(DATE(2024,LEFT(A24,LEN(A24)-1),1),0), '销售数据明细'!$C:$C, B24, '销售数据明细'!$D:$D, C24)</f>
      </c>
      <c r="F24" s="26">
        <f>SUMIFS('销售数据明细'!$J:$J, '销售数据明细'!$B:$B, "&gt;="&amp;DATE(2024,LEFT(A24,LEN(A24)-1),1), '销售数据明细'!$B:$B, "&lt;="&amp;EOMONTH(DATE(2024,LEFT(A24,LEN(A24)-1),1),0), '销售数据明细'!$C:$C, B24, '销售数据明细'!$D:$D, C24)</f>
      </c>
    </row>
    <row customHeight="true" ht="15" r="25">
      <c r="A25" s="21" t="s">
        <v>887</v>
      </c>
      <c r="B25" s="21" t="s">
        <v>888</v>
      </c>
      <c r="C25" s="21" t="s">
        <v>889</v>
      </c>
      <c r="D25" s="22">
        <f>SUMIFS('销售数据明细'!$F:$F, '销售数据明细'!$B:$B, "&gt;="&amp;DATE(2024,LEFT(A25,LEN(A25)-1),1), '销售数据明细'!$B:$B, "&lt;="&amp;EOMONTH(DATE(2024,LEFT(A25,LEN(A25)-1),1),0), '销售数据明细'!$C:$C, B25, '销售数据明细'!$D:$D, C25)</f>
      </c>
      <c r="E25" s="23">
        <f>SUMIFS('销售数据明细'!$H:$H, '销售数据明细'!$B:$B, "&gt;="&amp;DATE(2024,LEFT(A25,LEN(A25)-1),1), '销售数据明细'!$B:$B, "&lt;="&amp;EOMONTH(DATE(2024,LEFT(A25,LEN(A25)-1),1),0), '销售数据明细'!$C:$C, B25, '销售数据明细'!$D:$D, C25)</f>
      </c>
      <c r="F25" s="23">
        <f>SUMIFS('销售数据明细'!$J:$J, '销售数据明细'!$B:$B, "&gt;="&amp;DATE(2024,LEFT(A25,LEN(A25)-1),1), '销售数据明细'!$B:$B, "&lt;="&amp;EOMONTH(DATE(2024,LEFT(A25,LEN(A25)-1),1),0), '销售数据明细'!$C:$C, B25, '销售数据明细'!$D:$D, C25)</f>
      </c>
    </row>
    <row customHeight="true" ht="15" r="26">
      <c r="A26" s="24" t="s">
        <v>890</v>
      </c>
      <c r="B26" s="24" t="s">
        <v>891</v>
      </c>
      <c r="C26" s="24" t="s">
        <v>892</v>
      </c>
      <c r="D26" s="25">
        <f>SUMIFS('销售数据明细'!$F:$F, '销售数据明细'!$B:$B, "&gt;="&amp;DATE(2024,LEFT(A26,LEN(A26)-1),1), '销售数据明细'!$B:$B, "&lt;="&amp;EOMONTH(DATE(2024,LEFT(A26,LEN(A26)-1),1),0), '销售数据明细'!$C:$C, B26, '销售数据明细'!$D:$D, C26)</f>
      </c>
      <c r="E26" s="26">
        <f>SUMIFS('销售数据明细'!$H:$H, '销售数据明细'!$B:$B, "&gt;="&amp;DATE(2024,LEFT(A26,LEN(A26)-1),1), '销售数据明细'!$B:$B, "&lt;="&amp;EOMONTH(DATE(2024,LEFT(A26,LEN(A26)-1),1),0), '销售数据明细'!$C:$C, B26, '销售数据明细'!$D:$D, C26)</f>
      </c>
      <c r="F26" s="26">
        <f>SUMIFS('销售数据明细'!$J:$J, '销售数据明细'!$B:$B, "&gt;="&amp;DATE(2024,LEFT(A26,LEN(A26)-1),1), '销售数据明细'!$B:$B, "&lt;="&amp;EOMONTH(DATE(2024,LEFT(A26,LEN(A26)-1),1),0), '销售数据明细'!$C:$C, B26, '销售数据明细'!$D:$D, C26)</f>
      </c>
    </row>
    <row customHeight="true" ht="15" r="27">
      <c r="A27" s="21" t="s">
        <v>893</v>
      </c>
      <c r="B27" s="21" t="s">
        <v>894</v>
      </c>
      <c r="C27" s="21" t="s">
        <v>895</v>
      </c>
      <c r="D27" s="22">
        <f>SUMIFS('销售数据明细'!$F:$F, '销售数据明细'!$B:$B, "&gt;="&amp;DATE(2024,LEFT(A27,LEN(A27)-1),1), '销售数据明细'!$B:$B, "&lt;="&amp;EOMONTH(DATE(2024,LEFT(A27,LEN(A27)-1),1),0), '销售数据明细'!$C:$C, B27, '销售数据明细'!$D:$D, C27)</f>
      </c>
      <c r="E27" s="23">
        <f>SUMIFS('销售数据明细'!$H:$H, '销售数据明细'!$B:$B, "&gt;="&amp;DATE(2024,LEFT(A27,LEN(A27)-1),1), '销售数据明细'!$B:$B, "&lt;="&amp;EOMONTH(DATE(2024,LEFT(A27,LEN(A27)-1),1),0), '销售数据明细'!$C:$C, B27, '销售数据明细'!$D:$D, C27)</f>
      </c>
      <c r="F27" s="23">
        <f>SUMIFS('销售数据明细'!$J:$J, '销售数据明细'!$B:$B, "&gt;="&amp;DATE(2024,LEFT(A27,LEN(A27)-1),1), '销售数据明细'!$B:$B, "&lt;="&amp;EOMONTH(DATE(2024,LEFT(A27,LEN(A27)-1),1),0), '销售数据明细'!$C:$C, B27, '销售数据明细'!$D:$D, C27)</f>
      </c>
    </row>
    <row customHeight="true" ht="15" r="28">
      <c r="A28" s="24" t="s">
        <v>896</v>
      </c>
      <c r="B28" s="24" t="s">
        <v>897</v>
      </c>
      <c r="C28" s="24" t="s">
        <v>898</v>
      </c>
      <c r="D28" s="25">
        <f>SUMIFS('销售数据明细'!$F:$F, '销售数据明细'!$B:$B, "&gt;="&amp;DATE(2024,LEFT(A28,LEN(A28)-1),1), '销售数据明细'!$B:$B, "&lt;="&amp;EOMONTH(DATE(2024,LEFT(A28,LEN(A28)-1),1),0), '销售数据明细'!$C:$C, B28, '销售数据明细'!$D:$D, C28)</f>
      </c>
      <c r="E28" s="26">
        <f>SUMIFS('销售数据明细'!$H:$H, '销售数据明细'!$B:$B, "&gt;="&amp;DATE(2024,LEFT(A28,LEN(A28)-1),1), '销售数据明细'!$B:$B, "&lt;="&amp;EOMONTH(DATE(2024,LEFT(A28,LEN(A28)-1),1),0), '销售数据明细'!$C:$C, B28, '销售数据明细'!$D:$D, C28)</f>
      </c>
      <c r="F28" s="26">
        <f>SUMIFS('销售数据明细'!$J:$J, '销售数据明细'!$B:$B, "&gt;="&amp;DATE(2024,LEFT(A28,LEN(A28)-1),1), '销售数据明细'!$B:$B, "&lt;="&amp;EOMONTH(DATE(2024,LEFT(A28,LEN(A28)-1),1),0), '销售数据明细'!$C:$C, B28, '销售数据明细'!$D:$D, C28)</f>
      </c>
    </row>
    <row customHeight="true" ht="15" r="29">
      <c r="A29" s="21" t="s">
        <v>899</v>
      </c>
      <c r="B29" s="21" t="s">
        <v>900</v>
      </c>
      <c r="C29" s="21" t="s">
        <v>901</v>
      </c>
      <c r="D29" s="22">
        <f>SUMIFS('销售数据明细'!$F:$F, '销售数据明细'!$B:$B, "&gt;="&amp;DATE(2024,LEFT(A29,LEN(A29)-1),1), '销售数据明细'!$B:$B, "&lt;="&amp;EOMONTH(DATE(2024,LEFT(A29,LEN(A29)-1),1),0), '销售数据明细'!$C:$C, B29, '销售数据明细'!$D:$D, C29)</f>
      </c>
      <c r="E29" s="23">
        <f>SUMIFS('销售数据明细'!$H:$H, '销售数据明细'!$B:$B, "&gt;="&amp;DATE(2024,LEFT(A29,LEN(A29)-1),1), '销售数据明细'!$B:$B, "&lt;="&amp;EOMONTH(DATE(2024,LEFT(A29,LEN(A29)-1),1),0), '销售数据明细'!$C:$C, B29, '销售数据明细'!$D:$D, C29)</f>
      </c>
      <c r="F29" s="23">
        <f>SUMIFS('销售数据明细'!$J:$J, '销售数据明细'!$B:$B, "&gt;="&amp;DATE(2024,LEFT(A29,LEN(A29)-1),1), '销售数据明细'!$B:$B, "&lt;="&amp;EOMONTH(DATE(2024,LEFT(A29,LEN(A29)-1),1),0), '销售数据明细'!$C:$C, B29, '销售数据明细'!$D:$D, C29)</f>
      </c>
    </row>
    <row customHeight="true" ht="15" r="30">
      <c r="A30" s="24" t="s">
        <v>902</v>
      </c>
      <c r="B30" s="24" t="s">
        <v>903</v>
      </c>
      <c r="C30" s="24" t="s">
        <v>904</v>
      </c>
      <c r="D30" s="25">
        <f>SUMIFS('销售数据明细'!$F:$F, '销售数据明细'!$B:$B, "&gt;="&amp;DATE(2024,LEFT(A30,LEN(A30)-1),1), '销售数据明细'!$B:$B, "&lt;="&amp;EOMONTH(DATE(2024,LEFT(A30,LEN(A30)-1),1),0), '销售数据明细'!$C:$C, B30, '销售数据明细'!$D:$D, C30)</f>
      </c>
      <c r="E30" s="26">
        <f>SUMIFS('销售数据明细'!$H:$H, '销售数据明细'!$B:$B, "&gt;="&amp;DATE(2024,LEFT(A30,LEN(A30)-1),1), '销售数据明细'!$B:$B, "&lt;="&amp;EOMONTH(DATE(2024,LEFT(A30,LEN(A30)-1),1),0), '销售数据明细'!$C:$C, B30, '销售数据明细'!$D:$D, C30)</f>
      </c>
      <c r="F30" s="26">
        <f>SUMIFS('销售数据明细'!$J:$J, '销售数据明细'!$B:$B, "&gt;="&amp;DATE(2024,LEFT(A30,LEN(A30)-1),1), '销售数据明细'!$B:$B, "&lt;="&amp;EOMONTH(DATE(2024,LEFT(A30,LEN(A30)-1),1),0), '销售数据明细'!$C:$C, B30, '销售数据明细'!$D:$D, C30)</f>
      </c>
    </row>
    <row customHeight="true" ht="15" r="31">
      <c r="A31" s="21" t="s">
        <v>905</v>
      </c>
      <c r="B31" s="21" t="s">
        <v>906</v>
      </c>
      <c r="C31" s="21" t="s">
        <v>907</v>
      </c>
      <c r="D31" s="22">
        <f>SUMIFS('销售数据明细'!$F:$F, '销售数据明细'!$B:$B, "&gt;="&amp;DATE(2024,LEFT(A31,LEN(A31)-1),1), '销售数据明细'!$B:$B, "&lt;="&amp;EOMONTH(DATE(2024,LEFT(A31,LEN(A31)-1),1),0), '销售数据明细'!$C:$C, B31, '销售数据明细'!$D:$D, C31)</f>
      </c>
      <c r="E31" s="23">
        <f>SUMIFS('销售数据明细'!$H:$H, '销售数据明细'!$B:$B, "&gt;="&amp;DATE(2024,LEFT(A31,LEN(A31)-1),1), '销售数据明细'!$B:$B, "&lt;="&amp;EOMONTH(DATE(2024,LEFT(A31,LEN(A31)-1),1),0), '销售数据明细'!$C:$C, B31, '销售数据明细'!$D:$D, C31)</f>
      </c>
      <c r="F31" s="23">
        <f>SUMIFS('销售数据明细'!$J:$J, '销售数据明细'!$B:$B, "&gt;="&amp;DATE(2024,LEFT(A31,LEN(A31)-1),1), '销售数据明细'!$B:$B, "&lt;="&amp;EOMONTH(DATE(2024,LEFT(A31,LEN(A31)-1),1),0), '销售数据明细'!$C:$C, B31, '销售数据明细'!$D:$D, C31)</f>
      </c>
    </row>
    <row customHeight="true" ht="15" r="32">
      <c r="A32" s="24" t="s">
        <v>908</v>
      </c>
      <c r="B32" s="24" t="s">
        <v>909</v>
      </c>
      <c r="C32" s="24" t="s">
        <v>910</v>
      </c>
      <c r="D32" s="25">
        <f>SUMIFS('销售数据明细'!$F:$F, '销售数据明细'!$B:$B, "&gt;="&amp;DATE(2024,LEFT(A32,LEN(A32)-1),1), '销售数据明细'!$B:$B, "&lt;="&amp;EOMONTH(DATE(2024,LEFT(A32,LEN(A32)-1),1),0), '销售数据明细'!$C:$C, B32, '销售数据明细'!$D:$D, C32)</f>
      </c>
      <c r="E32" s="26">
        <f>SUMIFS('销售数据明细'!$H:$H, '销售数据明细'!$B:$B, "&gt;="&amp;DATE(2024,LEFT(A32,LEN(A32)-1),1), '销售数据明细'!$B:$B, "&lt;="&amp;EOMONTH(DATE(2024,LEFT(A32,LEN(A32)-1),1),0), '销售数据明细'!$C:$C, B32, '销售数据明细'!$D:$D, C32)</f>
      </c>
      <c r="F32" s="26">
        <f>SUMIFS('销售数据明细'!$J:$J, '销售数据明细'!$B:$B, "&gt;="&amp;DATE(2024,LEFT(A32,LEN(A32)-1),1), '销售数据明细'!$B:$B, "&lt;="&amp;EOMONTH(DATE(2024,LEFT(A32,LEN(A32)-1),1),0), '销售数据明细'!$C:$C, B32, '销售数据明细'!$D:$D, C32)</f>
      </c>
    </row>
    <row customHeight="true" ht="15" r="33">
      <c r="A33" s="21" t="s">
        <v>911</v>
      </c>
      <c r="B33" s="21" t="s">
        <v>912</v>
      </c>
      <c r="C33" s="21" t="s">
        <v>913</v>
      </c>
      <c r="D33" s="22">
        <f>SUMIFS('销售数据明细'!$F:$F, '销售数据明细'!$B:$B, "&gt;="&amp;DATE(2024,LEFT(A33,LEN(A33)-1),1), '销售数据明细'!$B:$B, "&lt;="&amp;EOMONTH(DATE(2024,LEFT(A33,LEN(A33)-1),1),0), '销售数据明细'!$C:$C, B33, '销售数据明细'!$D:$D, C33)</f>
      </c>
      <c r="E33" s="23">
        <f>SUMIFS('销售数据明细'!$H:$H, '销售数据明细'!$B:$B, "&gt;="&amp;DATE(2024,LEFT(A33,LEN(A33)-1),1), '销售数据明细'!$B:$B, "&lt;="&amp;EOMONTH(DATE(2024,LEFT(A33,LEN(A33)-1),1),0), '销售数据明细'!$C:$C, B33, '销售数据明细'!$D:$D, C33)</f>
      </c>
      <c r="F33" s="23">
        <f>SUMIFS('销售数据明细'!$J:$J, '销售数据明细'!$B:$B, "&gt;="&amp;DATE(2024,LEFT(A33,LEN(A33)-1),1), '销售数据明细'!$B:$B, "&lt;="&amp;EOMONTH(DATE(2024,LEFT(A33,LEN(A33)-1),1),0), '销售数据明细'!$C:$C, B33, '销售数据明细'!$D:$D, C33)</f>
      </c>
    </row>
    <row customHeight="true" ht="15" r="34">
      <c r="A34" s="24" t="s">
        <v>914</v>
      </c>
      <c r="B34" s="24" t="s">
        <v>915</v>
      </c>
      <c r="C34" s="24" t="s">
        <v>916</v>
      </c>
      <c r="D34" s="25">
        <f>SUMIFS('销售数据明细'!$F:$F, '销售数据明细'!$B:$B, "&gt;="&amp;DATE(2024,LEFT(A34,LEN(A34)-1),1), '销售数据明细'!$B:$B, "&lt;="&amp;EOMONTH(DATE(2024,LEFT(A34,LEN(A34)-1),1),0), '销售数据明细'!$C:$C, B34, '销售数据明细'!$D:$D, C34)</f>
      </c>
      <c r="E34" s="26">
        <f>SUMIFS('销售数据明细'!$H:$H, '销售数据明细'!$B:$B, "&gt;="&amp;DATE(2024,LEFT(A34,LEN(A34)-1),1), '销售数据明细'!$B:$B, "&lt;="&amp;EOMONTH(DATE(2024,LEFT(A34,LEN(A34)-1),1),0), '销售数据明细'!$C:$C, B34, '销售数据明细'!$D:$D, C34)</f>
      </c>
      <c r="F34" s="26">
        <f>SUMIFS('销售数据明细'!$J:$J, '销售数据明细'!$B:$B, "&gt;="&amp;DATE(2024,LEFT(A34,LEN(A34)-1),1), '销售数据明细'!$B:$B, "&lt;="&amp;EOMONTH(DATE(2024,LEFT(A34,LEN(A34)-1),1),0), '销售数据明细'!$C:$C, B34, '销售数据明细'!$D:$D, C34)</f>
      </c>
    </row>
    <row customHeight="true" ht="15" r="35">
      <c r="A35" s="21" t="s">
        <v>917</v>
      </c>
      <c r="B35" s="21" t="s">
        <v>918</v>
      </c>
      <c r="C35" s="21" t="s">
        <v>919</v>
      </c>
      <c r="D35" s="22">
        <f>SUMIFS('销售数据明细'!$F:$F, '销售数据明细'!$B:$B, "&gt;="&amp;DATE(2024,LEFT(A35,LEN(A35)-1),1), '销售数据明细'!$B:$B, "&lt;="&amp;EOMONTH(DATE(2024,LEFT(A35,LEN(A35)-1),1),0), '销售数据明细'!$C:$C, B35, '销售数据明细'!$D:$D, C35)</f>
      </c>
      <c r="E35" s="23">
        <f>SUMIFS('销售数据明细'!$H:$H, '销售数据明细'!$B:$B, "&gt;="&amp;DATE(2024,LEFT(A35,LEN(A35)-1),1), '销售数据明细'!$B:$B, "&lt;="&amp;EOMONTH(DATE(2024,LEFT(A35,LEN(A35)-1),1),0), '销售数据明细'!$C:$C, B35, '销售数据明细'!$D:$D, C35)</f>
      </c>
      <c r="F35" s="23">
        <f>SUMIFS('销售数据明细'!$J:$J, '销售数据明细'!$B:$B, "&gt;="&amp;DATE(2024,LEFT(A35,LEN(A35)-1),1), '销售数据明细'!$B:$B, "&lt;="&amp;EOMONTH(DATE(2024,LEFT(A35,LEN(A35)-1),1),0), '销售数据明细'!$C:$C, B35, '销售数据明细'!$D:$D, C35)</f>
      </c>
    </row>
    <row customHeight="true" ht="15" r="36">
      <c r="A36" s="24" t="s">
        <v>920</v>
      </c>
      <c r="B36" s="24" t="s">
        <v>921</v>
      </c>
      <c r="C36" s="24" t="s">
        <v>922</v>
      </c>
      <c r="D36" s="25">
        <f>SUMIFS('销售数据明细'!$F:$F, '销售数据明细'!$B:$B, "&gt;="&amp;DATE(2024,LEFT(A36,LEN(A36)-1),1), '销售数据明细'!$B:$B, "&lt;="&amp;EOMONTH(DATE(2024,LEFT(A36,LEN(A36)-1),1),0), '销售数据明细'!$C:$C, B36, '销售数据明细'!$D:$D, C36)</f>
      </c>
      <c r="E36" s="26">
        <f>SUMIFS('销售数据明细'!$H:$H, '销售数据明细'!$B:$B, "&gt;="&amp;DATE(2024,LEFT(A36,LEN(A36)-1),1), '销售数据明细'!$B:$B, "&lt;="&amp;EOMONTH(DATE(2024,LEFT(A36,LEN(A36)-1),1),0), '销售数据明细'!$C:$C, B36, '销售数据明细'!$D:$D, C36)</f>
      </c>
      <c r="F36" s="26">
        <f>SUMIFS('销售数据明细'!$J:$J, '销售数据明细'!$B:$B, "&gt;="&amp;DATE(2024,LEFT(A36,LEN(A36)-1),1), '销售数据明细'!$B:$B, "&lt;="&amp;EOMONTH(DATE(2024,LEFT(A36,LEN(A36)-1),1),0), '销售数据明细'!$C:$C, B36, '销售数据明细'!$D:$D, C36)</f>
      </c>
    </row>
    <row customHeight="true" ht="15" r="37">
      <c r="A37" s="21" t="s">
        <v>923</v>
      </c>
      <c r="B37" s="21" t="s">
        <v>924</v>
      </c>
      <c r="C37" s="21" t="s">
        <v>925</v>
      </c>
      <c r="D37" s="22">
        <f>SUMIFS('销售数据明细'!$F:$F, '销售数据明细'!$B:$B, "&gt;="&amp;DATE(2024,LEFT(A37,LEN(A37)-1),1), '销售数据明细'!$B:$B, "&lt;="&amp;EOMONTH(DATE(2024,LEFT(A37,LEN(A37)-1),1),0), '销售数据明细'!$C:$C, B37, '销售数据明细'!$D:$D, C37)</f>
      </c>
      <c r="E37" s="23">
        <f>SUMIFS('销售数据明细'!$H:$H, '销售数据明细'!$B:$B, "&gt;="&amp;DATE(2024,LEFT(A37,LEN(A37)-1),1), '销售数据明细'!$B:$B, "&lt;="&amp;EOMONTH(DATE(2024,LEFT(A37,LEN(A37)-1),1),0), '销售数据明细'!$C:$C, B37, '销售数据明细'!$D:$D, C37)</f>
      </c>
      <c r="F37" s="23">
        <f>SUMIFS('销售数据明细'!$J:$J, '销售数据明细'!$B:$B, "&gt;="&amp;DATE(2024,LEFT(A37,LEN(A37)-1),1), '销售数据明细'!$B:$B, "&lt;="&amp;EOMONTH(DATE(2024,LEFT(A37,LEN(A37)-1),1),0), '销售数据明细'!$C:$C, B37, '销售数据明细'!$D:$D, C37)</f>
      </c>
    </row>
    <row customHeight="true" ht="15" r="38">
      <c r="A38" s="24" t="s">
        <v>926</v>
      </c>
      <c r="B38" s="24" t="s">
        <v>927</v>
      </c>
      <c r="C38" s="24" t="s">
        <v>928</v>
      </c>
      <c r="D38" s="25">
        <f>SUMIFS('销售数据明细'!$F:$F, '销售数据明细'!$B:$B, "&gt;="&amp;DATE(2024,LEFT(A38,LEN(A38)-1),1), '销售数据明细'!$B:$B, "&lt;="&amp;EOMONTH(DATE(2024,LEFT(A38,LEN(A38)-1),1),0), '销售数据明细'!$C:$C, B38, '销售数据明细'!$D:$D, C38)</f>
      </c>
      <c r="E38" s="26">
        <f>SUMIFS('销售数据明细'!$H:$H, '销售数据明细'!$B:$B, "&gt;="&amp;DATE(2024,LEFT(A38,LEN(A38)-1),1), '销售数据明细'!$B:$B, "&lt;="&amp;EOMONTH(DATE(2024,LEFT(A38,LEN(A38)-1),1),0), '销售数据明细'!$C:$C, B38, '销售数据明细'!$D:$D, C38)</f>
      </c>
      <c r="F38" s="26">
        <f>SUMIFS('销售数据明细'!$J:$J, '销售数据明细'!$B:$B, "&gt;="&amp;DATE(2024,LEFT(A38,LEN(A38)-1),1), '销售数据明细'!$B:$B, "&lt;="&amp;EOMONTH(DATE(2024,LEFT(A38,LEN(A38)-1),1),0), '销售数据明细'!$C:$C, B38, '销售数据明细'!$D:$D, C38)</f>
      </c>
    </row>
    <row customHeight="true" ht="15" r="39">
      <c r="A39" s="21" t="s">
        <v>929</v>
      </c>
      <c r="B39" s="21" t="s">
        <v>930</v>
      </c>
      <c r="C39" s="21" t="s">
        <v>931</v>
      </c>
      <c r="D39" s="22">
        <f>SUMIFS('销售数据明细'!$F:$F, '销售数据明细'!$B:$B, "&gt;="&amp;DATE(2024,LEFT(A39,LEN(A39)-1),1), '销售数据明细'!$B:$B, "&lt;="&amp;EOMONTH(DATE(2024,LEFT(A39,LEN(A39)-1),1),0), '销售数据明细'!$C:$C, B39, '销售数据明细'!$D:$D, C39)</f>
      </c>
      <c r="E39" s="23">
        <f>SUMIFS('销售数据明细'!$H:$H, '销售数据明细'!$B:$B, "&gt;="&amp;DATE(2024,LEFT(A39,LEN(A39)-1),1), '销售数据明细'!$B:$B, "&lt;="&amp;EOMONTH(DATE(2024,LEFT(A39,LEN(A39)-1),1),0), '销售数据明细'!$C:$C, B39, '销售数据明细'!$D:$D, C39)</f>
      </c>
      <c r="F39" s="23">
        <f>SUMIFS('销售数据明细'!$J:$J, '销售数据明细'!$B:$B, "&gt;="&amp;DATE(2024,LEFT(A39,LEN(A39)-1),1), '销售数据明细'!$B:$B, "&lt;="&amp;EOMONTH(DATE(2024,LEFT(A39,LEN(A39)-1),1),0), '销售数据明细'!$C:$C, B39, '销售数据明细'!$D:$D, C39)</f>
      </c>
    </row>
    <row customHeight="true" ht="15" r="40">
      <c r="A40" s="24" t="s">
        <v>932</v>
      </c>
      <c r="B40" s="24" t="s">
        <v>933</v>
      </c>
      <c r="C40" s="24" t="s">
        <v>934</v>
      </c>
      <c r="D40" s="25">
        <f>SUMIFS('销售数据明细'!$F:$F, '销售数据明细'!$B:$B, "&gt;="&amp;DATE(2024,LEFT(A40,LEN(A40)-1),1), '销售数据明细'!$B:$B, "&lt;="&amp;EOMONTH(DATE(2024,LEFT(A40,LEN(A40)-1),1),0), '销售数据明细'!$C:$C, B40, '销售数据明细'!$D:$D, C40)</f>
      </c>
      <c r="E40" s="26">
        <f>SUMIFS('销售数据明细'!$H:$H, '销售数据明细'!$B:$B, "&gt;="&amp;DATE(2024,LEFT(A40,LEN(A40)-1),1), '销售数据明细'!$B:$B, "&lt;="&amp;EOMONTH(DATE(2024,LEFT(A40,LEN(A40)-1),1),0), '销售数据明细'!$C:$C, B40, '销售数据明细'!$D:$D, C40)</f>
      </c>
      <c r="F40" s="26">
        <f>SUMIFS('销售数据明细'!$J:$J, '销售数据明细'!$B:$B, "&gt;="&amp;DATE(2024,LEFT(A40,LEN(A40)-1),1), '销售数据明细'!$B:$B, "&lt;="&amp;EOMONTH(DATE(2024,LEFT(A40,LEN(A40)-1),1),0), '销售数据明细'!$C:$C, B40, '销售数据明细'!$D:$D, C40)</f>
      </c>
    </row>
    <row customHeight="true" ht="15" r="41">
      <c r="A41" s="21" t="s">
        <v>935</v>
      </c>
      <c r="B41" s="21" t="s">
        <v>936</v>
      </c>
      <c r="C41" s="21" t="s">
        <v>937</v>
      </c>
      <c r="D41" s="22">
        <f>SUMIFS('销售数据明细'!$F:$F, '销售数据明细'!$B:$B, "&gt;="&amp;DATE(2024,LEFT(A41,LEN(A41)-1),1), '销售数据明细'!$B:$B, "&lt;="&amp;EOMONTH(DATE(2024,LEFT(A41,LEN(A41)-1),1),0), '销售数据明细'!$C:$C, B41, '销售数据明细'!$D:$D, C41)</f>
      </c>
      <c r="E41" s="23">
        <f>SUMIFS('销售数据明细'!$H:$H, '销售数据明细'!$B:$B, "&gt;="&amp;DATE(2024,LEFT(A41,LEN(A41)-1),1), '销售数据明细'!$B:$B, "&lt;="&amp;EOMONTH(DATE(2024,LEFT(A41,LEN(A41)-1),1),0), '销售数据明细'!$C:$C, B41, '销售数据明细'!$D:$D, C41)</f>
      </c>
      <c r="F41" s="23">
        <f>SUMIFS('销售数据明细'!$J:$J, '销售数据明细'!$B:$B, "&gt;="&amp;DATE(2024,LEFT(A41,LEN(A41)-1),1), '销售数据明细'!$B:$B, "&lt;="&amp;EOMONTH(DATE(2024,LEFT(A41,LEN(A41)-1),1),0), '销售数据明细'!$C:$C, B41, '销售数据明细'!$D:$D, C41)</f>
      </c>
    </row>
    <row customHeight="true" ht="15" r="42">
      <c r="A42" s="24" t="s">
        <v>938</v>
      </c>
      <c r="B42" s="24" t="s">
        <v>939</v>
      </c>
      <c r="C42" s="24" t="s">
        <v>940</v>
      </c>
      <c r="D42" s="25">
        <f>SUMIFS('销售数据明细'!$F:$F, '销售数据明细'!$B:$B, "&gt;="&amp;DATE(2024,LEFT(A42,LEN(A42)-1),1), '销售数据明细'!$B:$B, "&lt;="&amp;EOMONTH(DATE(2024,LEFT(A42,LEN(A42)-1),1),0), '销售数据明细'!$C:$C, B42, '销售数据明细'!$D:$D, C42)</f>
      </c>
      <c r="E42" s="26">
        <f>SUMIFS('销售数据明细'!$H:$H, '销售数据明细'!$B:$B, "&gt;="&amp;DATE(2024,LEFT(A42,LEN(A42)-1),1), '销售数据明细'!$B:$B, "&lt;="&amp;EOMONTH(DATE(2024,LEFT(A42,LEN(A42)-1),1),0), '销售数据明细'!$C:$C, B42, '销售数据明细'!$D:$D, C42)</f>
      </c>
      <c r="F42" s="26">
        <f>SUMIFS('销售数据明细'!$J:$J, '销售数据明细'!$B:$B, "&gt;="&amp;DATE(2024,LEFT(A42,LEN(A42)-1),1), '销售数据明细'!$B:$B, "&lt;="&amp;EOMONTH(DATE(2024,LEFT(A42,LEN(A42)-1),1),0), '销售数据明细'!$C:$C, B42, '销售数据明细'!$D:$D, C42)</f>
      </c>
    </row>
    <row customHeight="true" ht="15" r="43">
      <c r="A43" s="21" t="s">
        <v>941</v>
      </c>
      <c r="B43" s="21" t="s">
        <v>942</v>
      </c>
      <c r="C43" s="21" t="s">
        <v>943</v>
      </c>
      <c r="D43" s="22">
        <f>SUMIFS('销售数据明细'!$F:$F, '销售数据明细'!$B:$B, "&gt;="&amp;DATE(2024,LEFT(A43,LEN(A43)-1),1), '销售数据明细'!$B:$B, "&lt;="&amp;EOMONTH(DATE(2024,LEFT(A43,LEN(A43)-1),1),0), '销售数据明细'!$C:$C, B43, '销售数据明细'!$D:$D, C43)</f>
      </c>
      <c r="E43" s="23">
        <f>SUMIFS('销售数据明细'!$H:$H, '销售数据明细'!$B:$B, "&gt;="&amp;DATE(2024,LEFT(A43,LEN(A43)-1),1), '销售数据明细'!$B:$B, "&lt;="&amp;EOMONTH(DATE(2024,LEFT(A43,LEN(A43)-1),1),0), '销售数据明细'!$C:$C, B43, '销售数据明细'!$D:$D, C43)</f>
      </c>
      <c r="F43" s="23">
        <f>SUMIFS('销售数据明细'!$J:$J, '销售数据明细'!$B:$B, "&gt;="&amp;DATE(2024,LEFT(A43,LEN(A43)-1),1), '销售数据明细'!$B:$B, "&lt;="&amp;EOMONTH(DATE(2024,LEFT(A43,LEN(A43)-1),1),0), '销售数据明细'!$C:$C, B43, '销售数据明细'!$D:$D, C43)</f>
      </c>
    </row>
    <row customHeight="true" ht="15" r="44">
      <c r="A44" s="24" t="s">
        <v>944</v>
      </c>
      <c r="B44" s="24" t="s">
        <v>945</v>
      </c>
      <c r="C44" s="24" t="s">
        <v>946</v>
      </c>
      <c r="D44" s="25">
        <f>SUMIFS('销售数据明细'!$F:$F, '销售数据明细'!$B:$B, "&gt;="&amp;DATE(2024,LEFT(A44,LEN(A44)-1),1), '销售数据明细'!$B:$B, "&lt;="&amp;EOMONTH(DATE(2024,LEFT(A44,LEN(A44)-1),1),0), '销售数据明细'!$C:$C, B44, '销售数据明细'!$D:$D, C44)</f>
      </c>
      <c r="E44" s="26">
        <f>SUMIFS('销售数据明细'!$H:$H, '销售数据明细'!$B:$B, "&gt;="&amp;DATE(2024,LEFT(A44,LEN(A44)-1),1), '销售数据明细'!$B:$B, "&lt;="&amp;EOMONTH(DATE(2024,LEFT(A44,LEN(A44)-1),1),0), '销售数据明细'!$C:$C, B44, '销售数据明细'!$D:$D, C44)</f>
      </c>
      <c r="F44" s="26">
        <f>SUMIFS('销售数据明细'!$J:$J, '销售数据明细'!$B:$B, "&gt;="&amp;DATE(2024,LEFT(A44,LEN(A44)-1),1), '销售数据明细'!$B:$B, "&lt;="&amp;EOMONTH(DATE(2024,LEFT(A44,LEN(A44)-1),1),0), '销售数据明细'!$C:$C, B44, '销售数据明细'!$D:$D, C44)</f>
      </c>
    </row>
    <row customHeight="true" ht="15" r="45">
      <c r="A45" s="21" t="s">
        <v>947</v>
      </c>
      <c r="B45" s="21" t="s">
        <v>948</v>
      </c>
      <c r="C45" s="21" t="s">
        <v>949</v>
      </c>
      <c r="D45" s="22">
        <f>SUMIFS('销售数据明细'!$F:$F, '销售数据明细'!$B:$B, "&gt;="&amp;DATE(2024,LEFT(A45,LEN(A45)-1),1), '销售数据明细'!$B:$B, "&lt;="&amp;EOMONTH(DATE(2024,LEFT(A45,LEN(A45)-1),1),0), '销售数据明细'!$C:$C, B45, '销售数据明细'!$D:$D, C45)</f>
      </c>
      <c r="E45" s="23">
        <f>SUMIFS('销售数据明细'!$H:$H, '销售数据明细'!$B:$B, "&gt;="&amp;DATE(2024,LEFT(A45,LEN(A45)-1),1), '销售数据明细'!$B:$B, "&lt;="&amp;EOMONTH(DATE(2024,LEFT(A45,LEN(A45)-1),1),0), '销售数据明细'!$C:$C, B45, '销售数据明细'!$D:$D, C45)</f>
      </c>
      <c r="F45" s="23">
        <f>SUMIFS('销售数据明细'!$J:$J, '销售数据明细'!$B:$B, "&gt;="&amp;DATE(2024,LEFT(A45,LEN(A45)-1),1), '销售数据明细'!$B:$B, "&lt;="&amp;EOMONTH(DATE(2024,LEFT(A45,LEN(A45)-1),1),0), '销售数据明细'!$C:$C, B45, '销售数据明细'!$D:$D, C45)</f>
      </c>
    </row>
    <row customHeight="true" ht="15" r="46">
      <c r="A46" s="24" t="s">
        <v>950</v>
      </c>
      <c r="B46" s="24" t="s">
        <v>951</v>
      </c>
      <c r="C46" s="24" t="s">
        <v>952</v>
      </c>
      <c r="D46" s="25">
        <f>SUMIFS('销售数据明细'!$F:$F, '销售数据明细'!$B:$B, "&gt;="&amp;DATE(2024,LEFT(A46,LEN(A46)-1),1), '销售数据明细'!$B:$B, "&lt;="&amp;EOMONTH(DATE(2024,LEFT(A46,LEN(A46)-1),1),0), '销售数据明细'!$C:$C, B46, '销售数据明细'!$D:$D, C46)</f>
      </c>
      <c r="E46" s="26">
        <f>SUMIFS('销售数据明细'!$H:$H, '销售数据明细'!$B:$B, "&gt;="&amp;DATE(2024,LEFT(A46,LEN(A46)-1),1), '销售数据明细'!$B:$B, "&lt;="&amp;EOMONTH(DATE(2024,LEFT(A46,LEN(A46)-1),1),0), '销售数据明细'!$C:$C, B46, '销售数据明细'!$D:$D, C46)</f>
      </c>
      <c r="F46" s="26">
        <f>SUMIFS('销售数据明细'!$J:$J, '销售数据明细'!$B:$B, "&gt;="&amp;DATE(2024,LEFT(A46,LEN(A46)-1),1), '销售数据明细'!$B:$B, "&lt;="&amp;EOMONTH(DATE(2024,LEFT(A46,LEN(A46)-1),1),0), '销售数据明细'!$C:$C, B46, '销售数据明细'!$D:$D, C46)</f>
      </c>
    </row>
    <row customHeight="true" ht="15" r="47">
      <c r="A47" s="21" t="s">
        <v>953</v>
      </c>
      <c r="B47" s="21" t="s">
        <v>954</v>
      </c>
      <c r="C47" s="21" t="s">
        <v>955</v>
      </c>
      <c r="D47" s="22">
        <f>SUMIFS('销售数据明细'!$F:$F, '销售数据明细'!$B:$B, "&gt;="&amp;DATE(2024,LEFT(A47,LEN(A47)-1),1), '销售数据明细'!$B:$B, "&lt;="&amp;EOMONTH(DATE(2024,LEFT(A47,LEN(A47)-1),1),0), '销售数据明细'!$C:$C, B47, '销售数据明细'!$D:$D, C47)</f>
      </c>
      <c r="E47" s="23">
        <f>SUMIFS('销售数据明细'!$H:$H, '销售数据明细'!$B:$B, "&gt;="&amp;DATE(2024,LEFT(A47,LEN(A47)-1),1), '销售数据明细'!$B:$B, "&lt;="&amp;EOMONTH(DATE(2024,LEFT(A47,LEN(A47)-1),1),0), '销售数据明细'!$C:$C, B47, '销售数据明细'!$D:$D, C47)</f>
      </c>
      <c r="F47" s="23">
        <f>SUMIFS('销售数据明细'!$J:$J, '销售数据明细'!$B:$B, "&gt;="&amp;DATE(2024,LEFT(A47,LEN(A47)-1),1), '销售数据明细'!$B:$B, "&lt;="&amp;EOMONTH(DATE(2024,LEFT(A47,LEN(A47)-1),1),0), '销售数据明细'!$C:$C, B47, '销售数据明细'!$D:$D, C47)</f>
      </c>
    </row>
    <row customHeight="true" ht="15" r="48">
      <c r="A48" s="24" t="s">
        <v>956</v>
      </c>
      <c r="B48" s="24" t="s">
        <v>957</v>
      </c>
      <c r="C48" s="24" t="s">
        <v>958</v>
      </c>
      <c r="D48" s="25">
        <f>SUMIFS('销售数据明细'!$F:$F, '销售数据明细'!$B:$B, "&gt;="&amp;DATE(2024,LEFT(A48,LEN(A48)-1),1), '销售数据明细'!$B:$B, "&lt;="&amp;EOMONTH(DATE(2024,LEFT(A48,LEN(A48)-1),1),0), '销售数据明细'!$C:$C, B48, '销售数据明细'!$D:$D, C48)</f>
      </c>
      <c r="E48" s="26">
        <f>SUMIFS('销售数据明细'!$H:$H, '销售数据明细'!$B:$B, "&gt;="&amp;DATE(2024,LEFT(A48,LEN(A48)-1),1), '销售数据明细'!$B:$B, "&lt;="&amp;EOMONTH(DATE(2024,LEFT(A48,LEN(A48)-1),1),0), '销售数据明细'!$C:$C, B48, '销售数据明细'!$D:$D, C48)</f>
      </c>
      <c r="F48" s="26">
        <f>SUMIFS('销售数据明细'!$J:$J, '销售数据明细'!$B:$B, "&gt;="&amp;DATE(2024,LEFT(A48,LEN(A48)-1),1), '销售数据明细'!$B:$B, "&lt;="&amp;EOMONTH(DATE(2024,LEFT(A48,LEN(A48)-1),1),0), '销售数据明细'!$C:$C, B48, '销售数据明细'!$D:$D, C48)</f>
      </c>
    </row>
    <row customHeight="true" ht="15" r="49">
      <c r="A49" s="21" t="s">
        <v>959</v>
      </c>
      <c r="B49" s="21" t="s">
        <v>960</v>
      </c>
      <c r="C49" s="21" t="s">
        <v>961</v>
      </c>
      <c r="D49" s="22">
        <f>SUMIFS('销售数据明细'!$F:$F, '销售数据明细'!$B:$B, "&gt;="&amp;DATE(2024,LEFT(A49,LEN(A49)-1),1), '销售数据明细'!$B:$B, "&lt;="&amp;EOMONTH(DATE(2024,LEFT(A49,LEN(A49)-1),1),0), '销售数据明细'!$C:$C, B49, '销售数据明细'!$D:$D, C49)</f>
      </c>
      <c r="E49" s="23">
        <f>SUMIFS('销售数据明细'!$H:$H, '销售数据明细'!$B:$B, "&gt;="&amp;DATE(2024,LEFT(A49,LEN(A49)-1),1), '销售数据明细'!$B:$B, "&lt;="&amp;EOMONTH(DATE(2024,LEFT(A49,LEN(A49)-1),1),0), '销售数据明细'!$C:$C, B49, '销售数据明细'!$D:$D, C49)</f>
      </c>
      <c r="F49" s="23">
        <f>SUMIFS('销售数据明细'!$J:$J, '销售数据明细'!$B:$B, "&gt;="&amp;DATE(2024,LEFT(A49,LEN(A49)-1),1), '销售数据明细'!$B:$B, "&lt;="&amp;EOMONTH(DATE(2024,LEFT(A49,LEN(A49)-1),1),0), '销售数据明细'!$C:$C, B49, '销售数据明细'!$D:$D, C49)</f>
      </c>
    </row>
    <row customHeight="true" ht="15" r="50">
      <c r="A50" s="24" t="s">
        <v>962</v>
      </c>
      <c r="B50" s="24" t="s">
        <v>963</v>
      </c>
      <c r="C50" s="24" t="s">
        <v>964</v>
      </c>
      <c r="D50" s="25">
        <f>SUMIFS('销售数据明细'!$F:$F, '销售数据明细'!$B:$B, "&gt;="&amp;DATE(2024,LEFT(A50,LEN(A50)-1),1), '销售数据明细'!$B:$B, "&lt;="&amp;EOMONTH(DATE(2024,LEFT(A50,LEN(A50)-1),1),0), '销售数据明细'!$C:$C, B50, '销售数据明细'!$D:$D, C50)</f>
      </c>
      <c r="E50" s="26">
        <f>SUMIFS('销售数据明细'!$H:$H, '销售数据明细'!$B:$B, "&gt;="&amp;DATE(2024,LEFT(A50,LEN(A50)-1),1), '销售数据明细'!$B:$B, "&lt;="&amp;EOMONTH(DATE(2024,LEFT(A50,LEN(A50)-1),1),0), '销售数据明细'!$C:$C, B50, '销售数据明细'!$D:$D, C50)</f>
      </c>
      <c r="F50" s="26">
        <f>SUMIFS('销售数据明细'!$J:$J, '销售数据明细'!$B:$B, "&gt;="&amp;DATE(2024,LEFT(A50,LEN(A50)-1),1), '销售数据明细'!$B:$B, "&lt;="&amp;EOMONTH(DATE(2024,LEFT(A50,LEN(A50)-1),1),0), '销售数据明细'!$C:$C, B50, '销售数据明细'!$D:$D, C50)</f>
      </c>
    </row>
    <row customHeight="true" ht="15" r="51">
      <c r="A51" s="21" t="s">
        <v>965</v>
      </c>
      <c r="B51" s="21" t="s">
        <v>966</v>
      </c>
      <c r="C51" s="21" t="s">
        <v>967</v>
      </c>
      <c r="D51" s="22">
        <f>SUMIFS('销售数据明细'!$F:$F, '销售数据明细'!$B:$B, "&gt;="&amp;DATE(2024,LEFT(A51,LEN(A51)-1),1), '销售数据明细'!$B:$B, "&lt;="&amp;EOMONTH(DATE(2024,LEFT(A51,LEN(A51)-1),1),0), '销售数据明细'!$C:$C, B51, '销售数据明细'!$D:$D, C51)</f>
      </c>
      <c r="E51" s="23">
        <f>SUMIFS('销售数据明细'!$H:$H, '销售数据明细'!$B:$B, "&gt;="&amp;DATE(2024,LEFT(A51,LEN(A51)-1),1), '销售数据明细'!$B:$B, "&lt;="&amp;EOMONTH(DATE(2024,LEFT(A51,LEN(A51)-1),1),0), '销售数据明细'!$C:$C, B51, '销售数据明细'!$D:$D, C51)</f>
      </c>
      <c r="F51" s="23">
        <f>SUMIFS('销售数据明细'!$J:$J, '销售数据明细'!$B:$B, "&gt;="&amp;DATE(2024,LEFT(A51,LEN(A51)-1),1), '销售数据明细'!$B:$B, "&lt;="&amp;EOMONTH(DATE(2024,LEFT(A51,LEN(A51)-1),1),0), '销售数据明细'!$C:$C, B51, '销售数据明细'!$D:$D, C51)</f>
      </c>
    </row>
    <row customHeight="true" ht="15" r="52">
      <c r="A52" s="24" t="s">
        <v>968</v>
      </c>
      <c r="B52" s="24" t="s">
        <v>969</v>
      </c>
      <c r="C52" s="24" t="s">
        <v>970</v>
      </c>
      <c r="D52" s="25">
        <f>SUMIFS('销售数据明细'!$F:$F, '销售数据明细'!$B:$B, "&gt;="&amp;DATE(2024,LEFT(A52,LEN(A52)-1),1), '销售数据明细'!$B:$B, "&lt;="&amp;EOMONTH(DATE(2024,LEFT(A52,LEN(A52)-1),1),0), '销售数据明细'!$C:$C, B52, '销售数据明细'!$D:$D, C52)</f>
      </c>
      <c r="E52" s="26">
        <f>SUMIFS('销售数据明细'!$H:$H, '销售数据明细'!$B:$B, "&gt;="&amp;DATE(2024,LEFT(A52,LEN(A52)-1),1), '销售数据明细'!$B:$B, "&lt;="&amp;EOMONTH(DATE(2024,LEFT(A52,LEN(A52)-1),1),0), '销售数据明细'!$C:$C, B52, '销售数据明细'!$D:$D, C52)</f>
      </c>
      <c r="F52" s="26">
        <f>SUMIFS('销售数据明细'!$J:$J, '销售数据明细'!$B:$B, "&gt;="&amp;DATE(2024,LEFT(A52,LEN(A52)-1),1), '销售数据明细'!$B:$B, "&lt;="&amp;EOMONTH(DATE(2024,LEFT(A52,LEN(A52)-1),1),0), '销售数据明细'!$C:$C, B52, '销售数据明细'!$D:$D, C52)</f>
      </c>
    </row>
    <row customHeight="true" ht="15" r="53">
      <c r="A53" s="21" t="s">
        <v>971</v>
      </c>
      <c r="B53" s="21" t="s">
        <v>972</v>
      </c>
      <c r="C53" s="21" t="s">
        <v>973</v>
      </c>
      <c r="D53" s="22">
        <f>SUMIFS('销售数据明细'!$F:$F, '销售数据明细'!$B:$B, "&gt;="&amp;DATE(2024,LEFT(A53,LEN(A53)-1),1), '销售数据明细'!$B:$B, "&lt;="&amp;EOMONTH(DATE(2024,LEFT(A53,LEN(A53)-1),1),0), '销售数据明细'!$C:$C, B53, '销售数据明细'!$D:$D, C53)</f>
      </c>
      <c r="E53" s="23">
        <f>SUMIFS('销售数据明细'!$H:$H, '销售数据明细'!$B:$B, "&gt;="&amp;DATE(2024,LEFT(A53,LEN(A53)-1),1), '销售数据明细'!$B:$B, "&lt;="&amp;EOMONTH(DATE(2024,LEFT(A53,LEN(A53)-1),1),0), '销售数据明细'!$C:$C, B53, '销售数据明细'!$D:$D, C53)</f>
      </c>
      <c r="F53" s="23">
        <f>SUMIFS('销售数据明细'!$J:$J, '销售数据明细'!$B:$B, "&gt;="&amp;DATE(2024,LEFT(A53,LEN(A53)-1),1), '销售数据明细'!$B:$B, "&lt;="&amp;EOMONTH(DATE(2024,LEFT(A53,LEN(A53)-1),1),0), '销售数据明细'!$C:$C, B53, '销售数据明细'!$D:$D, C53)</f>
      </c>
    </row>
    <row customHeight="true" ht="15" r="54">
      <c r="A54" s="24" t="s">
        <v>974</v>
      </c>
      <c r="B54" s="24" t="s">
        <v>975</v>
      </c>
      <c r="C54" s="24" t="s">
        <v>976</v>
      </c>
      <c r="D54" s="25">
        <f>SUMIFS('销售数据明细'!$F:$F, '销售数据明细'!$B:$B, "&gt;="&amp;DATE(2024,LEFT(A54,LEN(A54)-1),1), '销售数据明细'!$B:$B, "&lt;="&amp;EOMONTH(DATE(2024,LEFT(A54,LEN(A54)-1),1),0), '销售数据明细'!$C:$C, B54, '销售数据明细'!$D:$D, C54)</f>
      </c>
      <c r="E54" s="26">
        <f>SUMIFS('销售数据明细'!$H:$H, '销售数据明细'!$B:$B, "&gt;="&amp;DATE(2024,LEFT(A54,LEN(A54)-1),1), '销售数据明细'!$B:$B, "&lt;="&amp;EOMONTH(DATE(2024,LEFT(A54,LEN(A54)-1),1),0), '销售数据明细'!$C:$C, B54, '销售数据明细'!$D:$D, C54)</f>
      </c>
      <c r="F54" s="26">
        <f>SUMIFS('销售数据明细'!$J:$J, '销售数据明细'!$B:$B, "&gt;="&amp;DATE(2024,LEFT(A54,LEN(A54)-1),1), '销售数据明细'!$B:$B, "&lt;="&amp;EOMONTH(DATE(2024,LEFT(A54,LEN(A54)-1),1),0), '销售数据明细'!$C:$C, B54, '销售数据明细'!$D:$D, C54)</f>
      </c>
    </row>
    <row customHeight="true" ht="15" r="55">
      <c r="A55" s="21" t="s">
        <v>977</v>
      </c>
      <c r="B55" s="21" t="s">
        <v>978</v>
      </c>
      <c r="C55" s="21" t="s">
        <v>979</v>
      </c>
      <c r="D55" s="22">
        <f>SUMIFS('销售数据明细'!$F:$F, '销售数据明细'!$B:$B, "&gt;="&amp;DATE(2024,LEFT(A55,LEN(A55)-1),1), '销售数据明细'!$B:$B, "&lt;="&amp;EOMONTH(DATE(2024,LEFT(A55,LEN(A55)-1),1),0), '销售数据明细'!$C:$C, B55, '销售数据明细'!$D:$D, C55)</f>
      </c>
      <c r="E55" s="23">
        <f>SUMIFS('销售数据明细'!$H:$H, '销售数据明细'!$B:$B, "&gt;="&amp;DATE(2024,LEFT(A55,LEN(A55)-1),1), '销售数据明细'!$B:$B, "&lt;="&amp;EOMONTH(DATE(2024,LEFT(A55,LEN(A55)-1),1),0), '销售数据明细'!$C:$C, B55, '销售数据明细'!$D:$D, C55)</f>
      </c>
      <c r="F55" s="23">
        <f>SUMIFS('销售数据明细'!$J:$J, '销售数据明细'!$B:$B, "&gt;="&amp;DATE(2024,LEFT(A55,LEN(A55)-1),1), '销售数据明细'!$B:$B, "&lt;="&amp;EOMONTH(DATE(2024,LEFT(A55,LEN(A55)-1),1),0), '销售数据明细'!$C:$C, B55, '销售数据明细'!$D:$D, C55)</f>
      </c>
    </row>
    <row customHeight="true" ht="15" r="56">
      <c r="A56" s="24" t="s">
        <v>980</v>
      </c>
      <c r="B56" s="24" t="s">
        <v>981</v>
      </c>
      <c r="C56" s="24" t="s">
        <v>982</v>
      </c>
      <c r="D56" s="25">
        <f>SUMIFS('销售数据明细'!$F:$F, '销售数据明细'!$B:$B, "&gt;="&amp;DATE(2024,LEFT(A56,LEN(A56)-1),1), '销售数据明细'!$B:$B, "&lt;="&amp;EOMONTH(DATE(2024,LEFT(A56,LEN(A56)-1),1),0), '销售数据明细'!$C:$C, B56, '销售数据明细'!$D:$D, C56)</f>
      </c>
      <c r="E56" s="26">
        <f>SUMIFS('销售数据明细'!$H:$H, '销售数据明细'!$B:$B, "&gt;="&amp;DATE(2024,LEFT(A56,LEN(A56)-1),1), '销售数据明细'!$B:$B, "&lt;="&amp;EOMONTH(DATE(2024,LEFT(A56,LEN(A56)-1),1),0), '销售数据明细'!$C:$C, B56, '销售数据明细'!$D:$D, C56)</f>
      </c>
      <c r="F56" s="26">
        <f>SUMIFS('销售数据明细'!$J:$J, '销售数据明细'!$B:$B, "&gt;="&amp;DATE(2024,LEFT(A56,LEN(A56)-1),1), '销售数据明细'!$B:$B, "&lt;="&amp;EOMONTH(DATE(2024,LEFT(A56,LEN(A56)-1),1),0), '销售数据明细'!$C:$C, B56, '销售数据明细'!$D:$D, C56)</f>
      </c>
    </row>
    <row customHeight="true" ht="15" r="57">
      <c r="A57" s="21" t="s">
        <v>983</v>
      </c>
      <c r="B57" s="21" t="s">
        <v>984</v>
      </c>
      <c r="C57" s="21" t="s">
        <v>985</v>
      </c>
      <c r="D57" s="22">
        <f>SUMIFS('销售数据明细'!$F:$F, '销售数据明细'!$B:$B, "&gt;="&amp;DATE(2024,LEFT(A57,LEN(A57)-1),1), '销售数据明细'!$B:$B, "&lt;="&amp;EOMONTH(DATE(2024,LEFT(A57,LEN(A57)-1),1),0), '销售数据明细'!$C:$C, B57, '销售数据明细'!$D:$D, C57)</f>
      </c>
      <c r="E57" s="23">
        <f>SUMIFS('销售数据明细'!$H:$H, '销售数据明细'!$B:$B, "&gt;="&amp;DATE(2024,LEFT(A57,LEN(A57)-1),1), '销售数据明细'!$B:$B, "&lt;="&amp;EOMONTH(DATE(2024,LEFT(A57,LEN(A57)-1),1),0), '销售数据明细'!$C:$C, B57, '销售数据明细'!$D:$D, C57)</f>
      </c>
      <c r="F57" s="23">
        <f>SUMIFS('销售数据明细'!$J:$J, '销售数据明细'!$B:$B, "&gt;="&amp;DATE(2024,LEFT(A57,LEN(A57)-1),1), '销售数据明细'!$B:$B, "&lt;="&amp;EOMONTH(DATE(2024,LEFT(A57,LEN(A57)-1),1),0), '销售数据明细'!$C:$C, B57, '销售数据明细'!$D:$D, C57)</f>
      </c>
    </row>
    <row customHeight="true" ht="15" r="58">
      <c r="A58" s="24" t="s">
        <v>986</v>
      </c>
      <c r="B58" s="24" t="s">
        <v>987</v>
      </c>
      <c r="C58" s="24" t="s">
        <v>988</v>
      </c>
      <c r="D58" s="25">
        <f>SUMIFS('销售数据明细'!$F:$F, '销售数据明细'!$B:$B, "&gt;="&amp;DATE(2024,LEFT(A58,LEN(A58)-1),1), '销售数据明细'!$B:$B, "&lt;="&amp;EOMONTH(DATE(2024,LEFT(A58,LEN(A58)-1),1),0), '销售数据明细'!$C:$C, B58, '销售数据明细'!$D:$D, C58)</f>
      </c>
      <c r="E58" s="26">
        <f>SUMIFS('销售数据明细'!$H:$H, '销售数据明细'!$B:$B, "&gt;="&amp;DATE(2024,LEFT(A58,LEN(A58)-1),1), '销售数据明细'!$B:$B, "&lt;="&amp;EOMONTH(DATE(2024,LEFT(A58,LEN(A58)-1),1),0), '销售数据明细'!$C:$C, B58, '销售数据明细'!$D:$D, C58)</f>
      </c>
      <c r="F58" s="26">
        <f>SUMIFS('销售数据明细'!$J:$J, '销售数据明细'!$B:$B, "&gt;="&amp;DATE(2024,LEFT(A58,LEN(A58)-1),1), '销售数据明细'!$B:$B, "&lt;="&amp;EOMONTH(DATE(2024,LEFT(A58,LEN(A58)-1),1),0), '销售数据明细'!$C:$C, B58, '销售数据明细'!$D:$D, C58)</f>
      </c>
    </row>
    <row customHeight="true" ht="15" r="59">
      <c r="A59" s="21" t="s">
        <v>989</v>
      </c>
      <c r="B59" s="21" t="s">
        <v>990</v>
      </c>
      <c r="C59" s="21" t="s">
        <v>991</v>
      </c>
      <c r="D59" s="22">
        <f>SUMIFS('销售数据明细'!$F:$F, '销售数据明细'!$B:$B, "&gt;="&amp;DATE(2024,LEFT(A59,LEN(A59)-1),1), '销售数据明细'!$B:$B, "&lt;="&amp;EOMONTH(DATE(2024,LEFT(A59,LEN(A59)-1),1),0), '销售数据明细'!$C:$C, B59, '销售数据明细'!$D:$D, C59)</f>
      </c>
      <c r="E59" s="23">
        <f>SUMIFS('销售数据明细'!$H:$H, '销售数据明细'!$B:$B, "&gt;="&amp;DATE(2024,LEFT(A59,LEN(A59)-1),1), '销售数据明细'!$B:$B, "&lt;="&amp;EOMONTH(DATE(2024,LEFT(A59,LEN(A59)-1),1),0), '销售数据明细'!$C:$C, B59, '销售数据明细'!$D:$D, C59)</f>
      </c>
      <c r="F59" s="23">
        <f>SUMIFS('销售数据明细'!$J:$J, '销售数据明细'!$B:$B, "&gt;="&amp;DATE(2024,LEFT(A59,LEN(A59)-1),1), '销售数据明细'!$B:$B, "&lt;="&amp;EOMONTH(DATE(2024,LEFT(A59,LEN(A59)-1),1),0), '销售数据明细'!$C:$C, B59, '销售数据明细'!$D:$D, C59)</f>
      </c>
    </row>
    <row customHeight="true" ht="15" r="60">
      <c r="A60" s="24" t="s">
        <v>992</v>
      </c>
      <c r="B60" s="24" t="s">
        <v>993</v>
      </c>
      <c r="C60" s="24" t="s">
        <v>994</v>
      </c>
      <c r="D60" s="25">
        <f>SUMIFS('销售数据明细'!$F:$F, '销售数据明细'!$B:$B, "&gt;="&amp;DATE(2024,LEFT(A60,LEN(A60)-1),1), '销售数据明细'!$B:$B, "&lt;="&amp;EOMONTH(DATE(2024,LEFT(A60,LEN(A60)-1),1),0), '销售数据明细'!$C:$C, B60, '销售数据明细'!$D:$D, C60)</f>
      </c>
      <c r="E60" s="26">
        <f>SUMIFS('销售数据明细'!$H:$H, '销售数据明细'!$B:$B, "&gt;="&amp;DATE(2024,LEFT(A60,LEN(A60)-1),1), '销售数据明细'!$B:$B, "&lt;="&amp;EOMONTH(DATE(2024,LEFT(A60,LEN(A60)-1),1),0), '销售数据明细'!$C:$C, B60, '销售数据明细'!$D:$D, C60)</f>
      </c>
      <c r="F60" s="26">
        <f>SUMIFS('销售数据明细'!$J:$J, '销售数据明细'!$B:$B, "&gt;="&amp;DATE(2024,LEFT(A60,LEN(A60)-1),1), '销售数据明细'!$B:$B, "&lt;="&amp;EOMONTH(DATE(2024,LEFT(A60,LEN(A60)-1),1),0), '销售数据明细'!$C:$C, B60, '销售数据明细'!$D:$D, C60)</f>
      </c>
    </row>
    <row customHeight="true" ht="15" r="61">
      <c r="A61" s="21" t="s">
        <v>995</v>
      </c>
      <c r="B61" s="21" t="s">
        <v>996</v>
      </c>
      <c r="C61" s="21" t="s">
        <v>997</v>
      </c>
      <c r="D61" s="22">
        <f>SUMIFS('销售数据明细'!$F:$F, '销售数据明细'!$B:$B, "&gt;="&amp;DATE(2024,LEFT(A61,LEN(A61)-1),1), '销售数据明细'!$B:$B, "&lt;="&amp;EOMONTH(DATE(2024,LEFT(A61,LEN(A61)-1),1),0), '销售数据明细'!$C:$C, B61, '销售数据明细'!$D:$D, C61)</f>
      </c>
      <c r="E61" s="23">
        <f>SUMIFS('销售数据明细'!$H:$H, '销售数据明细'!$B:$B, "&gt;="&amp;DATE(2024,LEFT(A61,LEN(A61)-1),1), '销售数据明细'!$B:$B, "&lt;="&amp;EOMONTH(DATE(2024,LEFT(A61,LEN(A61)-1),1),0), '销售数据明细'!$C:$C, B61, '销售数据明细'!$D:$D, C61)</f>
      </c>
      <c r="F61" s="23">
        <f>SUMIFS('销售数据明细'!$J:$J, '销售数据明细'!$B:$B, "&gt;="&amp;DATE(2024,LEFT(A61,LEN(A61)-1),1), '销售数据明细'!$B:$B, "&lt;="&amp;EOMONTH(DATE(2024,LEFT(A61,LEN(A61)-1),1),0), '销售数据明细'!$C:$C, B61, '销售数据明细'!$D:$D, C61)</f>
      </c>
    </row>
    <row customHeight="true" ht="15" r="62">
      <c r="A62" s="24" t="s">
        <v>998</v>
      </c>
      <c r="B62" s="24" t="s">
        <v>999</v>
      </c>
      <c r="C62" s="24" t="s">
        <v>1000</v>
      </c>
      <c r="D62" s="25">
        <f>SUMIFS('销售数据明细'!$F:$F, '销售数据明细'!$B:$B, "&gt;="&amp;DATE(2024,LEFT(A62,LEN(A62)-1),1), '销售数据明细'!$B:$B, "&lt;="&amp;EOMONTH(DATE(2024,LEFT(A62,LEN(A62)-1),1),0), '销售数据明细'!$C:$C, B62, '销售数据明细'!$D:$D, C62)</f>
      </c>
      <c r="E62" s="26">
        <f>SUMIFS('销售数据明细'!$H:$H, '销售数据明细'!$B:$B, "&gt;="&amp;DATE(2024,LEFT(A62,LEN(A62)-1),1), '销售数据明细'!$B:$B, "&lt;="&amp;EOMONTH(DATE(2024,LEFT(A62,LEN(A62)-1),1),0), '销售数据明细'!$C:$C, B62, '销售数据明细'!$D:$D, C62)</f>
      </c>
      <c r="F62" s="26">
        <f>SUMIFS('销售数据明细'!$J:$J, '销售数据明细'!$B:$B, "&gt;="&amp;DATE(2024,LEFT(A62,LEN(A62)-1),1), '销售数据明细'!$B:$B, "&lt;="&amp;EOMONTH(DATE(2024,LEFT(A62,LEN(A62)-1),1),0), '销售数据明细'!$C:$C, B62, '销售数据明细'!$D:$D, C62)</f>
      </c>
    </row>
    <row customHeight="true" ht="15" r="63">
      <c r="A63" s="21" t="s">
        <v>1001</v>
      </c>
      <c r="B63" s="21" t="s">
        <v>1002</v>
      </c>
      <c r="C63" s="21" t="s">
        <v>1003</v>
      </c>
      <c r="D63" s="22">
        <f>SUMIFS('销售数据明细'!$F:$F, '销售数据明细'!$B:$B, "&gt;="&amp;DATE(2024,LEFT(A63,LEN(A63)-1),1), '销售数据明细'!$B:$B, "&lt;="&amp;EOMONTH(DATE(2024,LEFT(A63,LEN(A63)-1),1),0), '销售数据明细'!$C:$C, B63, '销售数据明细'!$D:$D, C63)</f>
      </c>
      <c r="E63" s="23">
        <f>SUMIFS('销售数据明细'!$H:$H, '销售数据明细'!$B:$B, "&gt;="&amp;DATE(2024,LEFT(A63,LEN(A63)-1),1), '销售数据明细'!$B:$B, "&lt;="&amp;EOMONTH(DATE(2024,LEFT(A63,LEN(A63)-1),1),0), '销售数据明细'!$C:$C, B63, '销售数据明细'!$D:$D, C63)</f>
      </c>
      <c r="F63" s="23">
        <f>SUMIFS('销售数据明细'!$J:$J, '销售数据明细'!$B:$B, "&gt;="&amp;DATE(2024,LEFT(A63,LEN(A63)-1),1), '销售数据明细'!$B:$B, "&lt;="&amp;EOMONTH(DATE(2024,LEFT(A63,LEN(A63)-1),1),0), '销售数据明细'!$C:$C, B63, '销售数据明细'!$D:$D, C63)</f>
      </c>
    </row>
    <row customHeight="true" ht="15" r="64">
      <c r="A64" s="24" t="s">
        <v>1004</v>
      </c>
      <c r="B64" s="24" t="s">
        <v>1005</v>
      </c>
      <c r="C64" s="24" t="s">
        <v>1006</v>
      </c>
      <c r="D64" s="25">
        <f>SUMIFS('销售数据明细'!$F:$F, '销售数据明细'!$B:$B, "&gt;="&amp;DATE(2024,LEFT(A64,LEN(A64)-1),1), '销售数据明细'!$B:$B, "&lt;="&amp;EOMONTH(DATE(2024,LEFT(A64,LEN(A64)-1),1),0), '销售数据明细'!$C:$C, B64, '销售数据明细'!$D:$D, C64)</f>
      </c>
      <c r="E64" s="26">
        <f>SUMIFS('销售数据明细'!$H:$H, '销售数据明细'!$B:$B, "&gt;="&amp;DATE(2024,LEFT(A64,LEN(A64)-1),1), '销售数据明细'!$B:$B, "&lt;="&amp;EOMONTH(DATE(2024,LEFT(A64,LEN(A64)-1),1),0), '销售数据明细'!$C:$C, B64, '销售数据明细'!$D:$D, C64)</f>
      </c>
      <c r="F64" s="26">
        <f>SUMIFS('销售数据明细'!$J:$J, '销售数据明细'!$B:$B, "&gt;="&amp;DATE(2024,LEFT(A64,LEN(A64)-1),1), '销售数据明细'!$B:$B, "&lt;="&amp;EOMONTH(DATE(2024,LEFT(A64,LEN(A64)-1),1),0), '销售数据明细'!$C:$C, B64, '销售数据明细'!$D:$D, C64)</f>
      </c>
    </row>
    <row customHeight="true" ht="15" r="65">
      <c r="A65" s="21" t="s">
        <v>1007</v>
      </c>
      <c r="B65" s="21" t="s">
        <v>1008</v>
      </c>
      <c r="C65" s="21" t="s">
        <v>1009</v>
      </c>
      <c r="D65" s="22">
        <f>SUMIFS('销售数据明细'!$F:$F, '销售数据明细'!$B:$B, "&gt;="&amp;DATE(2024,LEFT(A65,LEN(A65)-1),1), '销售数据明细'!$B:$B, "&lt;="&amp;EOMONTH(DATE(2024,LEFT(A65,LEN(A65)-1),1),0), '销售数据明细'!$C:$C, B65, '销售数据明细'!$D:$D, C65)</f>
      </c>
      <c r="E65" s="23">
        <f>SUMIFS('销售数据明细'!$H:$H, '销售数据明细'!$B:$B, "&gt;="&amp;DATE(2024,LEFT(A65,LEN(A65)-1),1), '销售数据明细'!$B:$B, "&lt;="&amp;EOMONTH(DATE(2024,LEFT(A65,LEN(A65)-1),1),0), '销售数据明细'!$C:$C, B65, '销售数据明细'!$D:$D, C65)</f>
      </c>
      <c r="F65" s="23">
        <f>SUMIFS('销售数据明细'!$J:$J, '销售数据明细'!$B:$B, "&gt;="&amp;DATE(2024,LEFT(A65,LEN(A65)-1),1), '销售数据明细'!$B:$B, "&lt;="&amp;EOMONTH(DATE(2024,LEFT(A65,LEN(A65)-1),1),0), '销售数据明细'!$C:$C, B65, '销售数据明细'!$D:$D, C65)</f>
      </c>
    </row>
    <row customHeight="true" ht="15" r="66">
      <c r="A66" s="24" t="s">
        <v>1010</v>
      </c>
      <c r="B66" s="24" t="s">
        <v>1011</v>
      </c>
      <c r="C66" s="24" t="s">
        <v>1012</v>
      </c>
      <c r="D66" s="25">
        <f>SUMIFS('销售数据明细'!$F:$F, '销售数据明细'!$B:$B, "&gt;="&amp;DATE(2024,LEFT(A66,LEN(A66)-1),1), '销售数据明细'!$B:$B, "&lt;="&amp;EOMONTH(DATE(2024,LEFT(A66,LEN(A66)-1),1),0), '销售数据明细'!$C:$C, B66, '销售数据明细'!$D:$D, C66)</f>
      </c>
      <c r="E66" s="26">
        <f>SUMIFS('销售数据明细'!$H:$H, '销售数据明细'!$B:$B, "&gt;="&amp;DATE(2024,LEFT(A66,LEN(A66)-1),1), '销售数据明细'!$B:$B, "&lt;="&amp;EOMONTH(DATE(2024,LEFT(A66,LEN(A66)-1),1),0), '销售数据明细'!$C:$C, B66, '销售数据明细'!$D:$D, C66)</f>
      </c>
      <c r="F66" s="26">
        <f>SUMIFS('销售数据明细'!$J:$J, '销售数据明细'!$B:$B, "&gt;="&amp;DATE(2024,LEFT(A66,LEN(A66)-1),1), '销售数据明细'!$B:$B, "&lt;="&amp;EOMONTH(DATE(2024,LEFT(A66,LEN(A66)-1),1),0), '销售数据明细'!$C:$C, B66, '销售数据明细'!$D:$D, C66)</f>
      </c>
    </row>
    <row customHeight="true" ht="15" r="67">
      <c r="A67" s="21" t="s">
        <v>1013</v>
      </c>
      <c r="B67" s="21" t="s">
        <v>1014</v>
      </c>
      <c r="C67" s="21" t="s">
        <v>1015</v>
      </c>
      <c r="D67" s="22">
        <f>SUMIFS('销售数据明细'!$F:$F, '销售数据明细'!$B:$B, "&gt;="&amp;DATE(2024,LEFT(A67,LEN(A67)-1),1), '销售数据明细'!$B:$B, "&lt;="&amp;EOMONTH(DATE(2024,LEFT(A67,LEN(A67)-1),1),0), '销售数据明细'!$C:$C, B67, '销售数据明细'!$D:$D, C67)</f>
      </c>
      <c r="E67" s="23">
        <f>SUMIFS('销售数据明细'!$H:$H, '销售数据明细'!$B:$B, "&gt;="&amp;DATE(2024,LEFT(A67,LEN(A67)-1),1), '销售数据明细'!$B:$B, "&lt;="&amp;EOMONTH(DATE(2024,LEFT(A67,LEN(A67)-1),1),0), '销售数据明细'!$C:$C, B67, '销售数据明细'!$D:$D, C67)</f>
      </c>
      <c r="F67" s="23">
        <f>SUMIFS('销售数据明细'!$J:$J, '销售数据明细'!$B:$B, "&gt;="&amp;DATE(2024,LEFT(A67,LEN(A67)-1),1), '销售数据明细'!$B:$B, "&lt;="&amp;EOMONTH(DATE(2024,LEFT(A67,LEN(A67)-1),1),0), '销售数据明细'!$C:$C, B67, '销售数据明细'!$D:$D, C67)</f>
      </c>
    </row>
    <row customHeight="true" ht="15" r="68">
      <c r="A68" s="24" t="s">
        <v>1016</v>
      </c>
      <c r="B68" s="24" t="s">
        <v>1017</v>
      </c>
      <c r="C68" s="24" t="s">
        <v>1018</v>
      </c>
      <c r="D68" s="25">
        <f>SUMIFS('销售数据明细'!$F:$F, '销售数据明细'!$B:$B, "&gt;="&amp;DATE(2024,LEFT(A68,LEN(A68)-1),1), '销售数据明细'!$B:$B, "&lt;="&amp;EOMONTH(DATE(2024,LEFT(A68,LEN(A68)-1),1),0), '销售数据明细'!$C:$C, B68, '销售数据明细'!$D:$D, C68)</f>
      </c>
      <c r="E68" s="26">
        <f>SUMIFS('销售数据明细'!$H:$H, '销售数据明细'!$B:$B, "&gt;="&amp;DATE(2024,LEFT(A68,LEN(A68)-1),1), '销售数据明细'!$B:$B, "&lt;="&amp;EOMONTH(DATE(2024,LEFT(A68,LEN(A68)-1),1),0), '销售数据明细'!$C:$C, B68, '销售数据明细'!$D:$D, C68)</f>
      </c>
      <c r="F68" s="26">
        <f>SUMIFS('销售数据明细'!$J:$J, '销售数据明细'!$B:$B, "&gt;="&amp;DATE(2024,LEFT(A68,LEN(A68)-1),1), '销售数据明细'!$B:$B, "&lt;="&amp;EOMONTH(DATE(2024,LEFT(A68,LEN(A68)-1),1),0), '销售数据明细'!$C:$C, B68, '销售数据明细'!$D:$D, C68)</f>
      </c>
    </row>
    <row customHeight="true" ht="15" r="69">
      <c r="A69" s="21" t="s">
        <v>1019</v>
      </c>
      <c r="B69" s="21" t="s">
        <v>1020</v>
      </c>
      <c r="C69" s="21" t="s">
        <v>1021</v>
      </c>
      <c r="D69" s="22">
        <f>SUMIFS('销售数据明细'!$F:$F, '销售数据明细'!$B:$B, "&gt;="&amp;DATE(2024,LEFT(A69,LEN(A69)-1),1), '销售数据明细'!$B:$B, "&lt;="&amp;EOMONTH(DATE(2024,LEFT(A69,LEN(A69)-1),1),0), '销售数据明细'!$C:$C, B69, '销售数据明细'!$D:$D, C69)</f>
      </c>
      <c r="E69" s="23">
        <f>SUMIFS('销售数据明细'!$H:$H, '销售数据明细'!$B:$B, "&gt;="&amp;DATE(2024,LEFT(A69,LEN(A69)-1),1), '销售数据明细'!$B:$B, "&lt;="&amp;EOMONTH(DATE(2024,LEFT(A69,LEN(A69)-1),1),0), '销售数据明细'!$C:$C, B69, '销售数据明细'!$D:$D, C69)</f>
      </c>
      <c r="F69" s="23">
        <f>SUMIFS('销售数据明细'!$J:$J, '销售数据明细'!$B:$B, "&gt;="&amp;DATE(2024,LEFT(A69,LEN(A69)-1),1), '销售数据明细'!$B:$B, "&lt;="&amp;EOMONTH(DATE(2024,LEFT(A69,LEN(A69)-1),1),0), '销售数据明细'!$C:$C, B69, '销售数据明细'!$D:$D, C69)</f>
      </c>
    </row>
    <row customHeight="true" ht="15" r="70">
      <c r="A70" s="24" t="s">
        <v>1022</v>
      </c>
      <c r="B70" s="24" t="s">
        <v>1023</v>
      </c>
      <c r="C70" s="24" t="s">
        <v>1024</v>
      </c>
      <c r="D70" s="25">
        <f>SUMIFS('销售数据明细'!$F:$F, '销售数据明细'!$B:$B, "&gt;="&amp;DATE(2024,LEFT(A70,LEN(A70)-1),1), '销售数据明细'!$B:$B, "&lt;="&amp;EOMONTH(DATE(2024,LEFT(A70,LEN(A70)-1),1),0), '销售数据明细'!$C:$C, B70, '销售数据明细'!$D:$D, C70)</f>
      </c>
      <c r="E70" s="26">
        <f>SUMIFS('销售数据明细'!$H:$H, '销售数据明细'!$B:$B, "&gt;="&amp;DATE(2024,LEFT(A70,LEN(A70)-1),1), '销售数据明细'!$B:$B, "&lt;="&amp;EOMONTH(DATE(2024,LEFT(A70,LEN(A70)-1),1),0), '销售数据明细'!$C:$C, B70, '销售数据明细'!$D:$D, C70)</f>
      </c>
      <c r="F70" s="26">
        <f>SUMIFS('销售数据明细'!$J:$J, '销售数据明细'!$B:$B, "&gt;="&amp;DATE(2024,LEFT(A70,LEN(A70)-1),1), '销售数据明细'!$B:$B, "&lt;="&amp;EOMONTH(DATE(2024,LEFT(A70,LEN(A70)-1),1),0), '销售数据明细'!$C:$C, B70, '销售数据明细'!$D:$D, C70)</f>
      </c>
    </row>
    <row customHeight="true" ht="15" r="71">
      <c r="A71" s="21" t="s">
        <v>1025</v>
      </c>
      <c r="B71" s="21" t="s">
        <v>1026</v>
      </c>
      <c r="C71" s="21" t="s">
        <v>1027</v>
      </c>
      <c r="D71" s="22">
        <f>SUMIFS('销售数据明细'!$F:$F, '销售数据明细'!$B:$B, "&gt;="&amp;DATE(2024,LEFT(A71,LEN(A71)-1),1), '销售数据明细'!$B:$B, "&lt;="&amp;EOMONTH(DATE(2024,LEFT(A71,LEN(A71)-1),1),0), '销售数据明细'!$C:$C, B71, '销售数据明细'!$D:$D, C71)</f>
      </c>
      <c r="E71" s="23">
        <f>SUMIFS('销售数据明细'!$H:$H, '销售数据明细'!$B:$B, "&gt;="&amp;DATE(2024,LEFT(A71,LEN(A71)-1),1), '销售数据明细'!$B:$B, "&lt;="&amp;EOMONTH(DATE(2024,LEFT(A71,LEN(A71)-1),1),0), '销售数据明细'!$C:$C, B71, '销售数据明细'!$D:$D, C71)</f>
      </c>
      <c r="F71" s="23">
        <f>SUMIFS('销售数据明细'!$J:$J, '销售数据明细'!$B:$B, "&gt;="&amp;DATE(2024,LEFT(A71,LEN(A71)-1),1), '销售数据明细'!$B:$B, "&lt;="&amp;EOMONTH(DATE(2024,LEFT(A71,LEN(A71)-1),1),0), '销售数据明细'!$C:$C, B71, '销售数据明细'!$D:$D, C71)</f>
      </c>
    </row>
    <row customHeight="true" ht="15" r="72">
      <c r="A72" s="24" t="s">
        <v>1028</v>
      </c>
      <c r="B72" s="24" t="s">
        <v>1029</v>
      </c>
      <c r="C72" s="24" t="s">
        <v>1030</v>
      </c>
      <c r="D72" s="25">
        <f>SUMIFS('销售数据明细'!$F:$F, '销售数据明细'!$B:$B, "&gt;="&amp;DATE(2024,LEFT(A72,LEN(A72)-1),1), '销售数据明细'!$B:$B, "&lt;="&amp;EOMONTH(DATE(2024,LEFT(A72,LEN(A72)-1),1),0), '销售数据明细'!$C:$C, B72, '销售数据明细'!$D:$D, C72)</f>
      </c>
      <c r="E72" s="26">
        <f>SUMIFS('销售数据明细'!$H:$H, '销售数据明细'!$B:$B, "&gt;="&amp;DATE(2024,LEFT(A72,LEN(A72)-1),1), '销售数据明细'!$B:$B, "&lt;="&amp;EOMONTH(DATE(2024,LEFT(A72,LEN(A72)-1),1),0), '销售数据明细'!$C:$C, B72, '销售数据明细'!$D:$D, C72)</f>
      </c>
      <c r="F72" s="26">
        <f>SUMIFS('销售数据明细'!$J:$J, '销售数据明细'!$B:$B, "&gt;="&amp;DATE(2024,LEFT(A72,LEN(A72)-1),1), '销售数据明细'!$B:$B, "&lt;="&amp;EOMONTH(DATE(2024,LEFT(A72,LEN(A72)-1),1),0), '销售数据明细'!$C:$C, B72, '销售数据明细'!$D:$D, C72)</f>
      </c>
    </row>
    <row customHeight="true" ht="15" r="73">
      <c r="A73" s="21" t="s">
        <v>1031</v>
      </c>
      <c r="B73" s="21" t="s">
        <v>1032</v>
      </c>
      <c r="C73" s="21" t="s">
        <v>1033</v>
      </c>
      <c r="D73" s="22">
        <f>SUMIFS('销售数据明细'!$F:$F, '销售数据明细'!$B:$B, "&gt;="&amp;DATE(2024,LEFT(A73,LEN(A73)-1),1), '销售数据明细'!$B:$B, "&lt;="&amp;EOMONTH(DATE(2024,LEFT(A73,LEN(A73)-1),1),0), '销售数据明细'!$C:$C, B73, '销售数据明细'!$D:$D, C73)</f>
      </c>
      <c r="E73" s="23">
        <f>SUMIFS('销售数据明细'!$H:$H, '销售数据明细'!$B:$B, "&gt;="&amp;DATE(2024,LEFT(A73,LEN(A73)-1),1), '销售数据明细'!$B:$B, "&lt;="&amp;EOMONTH(DATE(2024,LEFT(A73,LEN(A73)-1),1),0), '销售数据明细'!$C:$C, B73, '销售数据明细'!$D:$D, C73)</f>
      </c>
      <c r="F73" s="23">
        <f>SUMIFS('销售数据明细'!$J:$J, '销售数据明细'!$B:$B, "&gt;="&amp;DATE(2024,LEFT(A73,LEN(A73)-1),1), '销售数据明细'!$B:$B, "&lt;="&amp;EOMONTH(DATE(2024,LEFT(A73,LEN(A73)-1),1),0), '销售数据明细'!$C:$C, B73, '销售数据明细'!$D:$D, C73)</f>
      </c>
    </row>
    <row customHeight="true" ht="15" r="74">
      <c r="A74" s="24" t="s">
        <v>1034</v>
      </c>
      <c r="B74" s="24" t="s">
        <v>1035</v>
      </c>
      <c r="C74" s="24" t="s">
        <v>1036</v>
      </c>
      <c r="D74" s="25">
        <f>SUMIFS('销售数据明细'!$F:$F, '销售数据明细'!$B:$B, "&gt;="&amp;DATE(2024,LEFT(A74,LEN(A74)-1),1), '销售数据明细'!$B:$B, "&lt;="&amp;EOMONTH(DATE(2024,LEFT(A74,LEN(A74)-1),1),0), '销售数据明细'!$C:$C, B74, '销售数据明细'!$D:$D, C74)</f>
      </c>
      <c r="E74" s="26">
        <f>SUMIFS('销售数据明细'!$H:$H, '销售数据明细'!$B:$B, "&gt;="&amp;DATE(2024,LEFT(A74,LEN(A74)-1),1), '销售数据明细'!$B:$B, "&lt;="&amp;EOMONTH(DATE(2024,LEFT(A74,LEN(A74)-1),1),0), '销售数据明细'!$C:$C, B74, '销售数据明细'!$D:$D, C74)</f>
      </c>
      <c r="F74" s="26">
        <f>SUMIFS('销售数据明细'!$J:$J, '销售数据明细'!$B:$B, "&gt;="&amp;DATE(2024,LEFT(A74,LEN(A74)-1),1), '销售数据明细'!$B:$B, "&lt;="&amp;EOMONTH(DATE(2024,LEFT(A74,LEN(A74)-1),1),0), '销售数据明细'!$C:$C, B74, '销售数据明细'!$D:$D, C74)</f>
      </c>
    </row>
    <row customHeight="true" ht="15" r="75">
      <c r="A75" s="21" t="s">
        <v>1037</v>
      </c>
      <c r="B75" s="21" t="s">
        <v>1038</v>
      </c>
      <c r="C75" s="21" t="s">
        <v>1039</v>
      </c>
      <c r="D75" s="22">
        <f>SUMIFS('销售数据明细'!$F:$F, '销售数据明细'!$B:$B, "&gt;="&amp;DATE(2024,LEFT(A75,LEN(A75)-1),1), '销售数据明细'!$B:$B, "&lt;="&amp;EOMONTH(DATE(2024,LEFT(A75,LEN(A75)-1),1),0), '销售数据明细'!$C:$C, B75, '销售数据明细'!$D:$D, C75)</f>
      </c>
      <c r="E75" s="23">
        <f>SUMIFS('销售数据明细'!$H:$H, '销售数据明细'!$B:$B, "&gt;="&amp;DATE(2024,LEFT(A75,LEN(A75)-1),1), '销售数据明细'!$B:$B, "&lt;="&amp;EOMONTH(DATE(2024,LEFT(A75,LEN(A75)-1),1),0), '销售数据明细'!$C:$C, B75, '销售数据明细'!$D:$D, C75)</f>
      </c>
      <c r="F75" s="23">
        <f>SUMIFS('销售数据明细'!$J:$J, '销售数据明细'!$B:$B, "&gt;="&amp;DATE(2024,LEFT(A75,LEN(A75)-1),1), '销售数据明细'!$B:$B, "&lt;="&amp;EOMONTH(DATE(2024,LEFT(A75,LEN(A75)-1),1),0), '销售数据明细'!$C:$C, B75, '销售数据明细'!$D:$D, C75)</f>
      </c>
    </row>
    <row customHeight="true" ht="15" r="76">
      <c r="A76" s="24" t="s">
        <v>1040</v>
      </c>
      <c r="B76" s="24" t="s">
        <v>1041</v>
      </c>
      <c r="C76" s="24" t="s">
        <v>1042</v>
      </c>
      <c r="D76" s="25">
        <f>SUMIFS('销售数据明细'!$F:$F, '销售数据明细'!$B:$B, "&gt;="&amp;DATE(2024,LEFT(A76,LEN(A76)-1),1), '销售数据明细'!$B:$B, "&lt;="&amp;EOMONTH(DATE(2024,LEFT(A76,LEN(A76)-1),1),0), '销售数据明细'!$C:$C, B76, '销售数据明细'!$D:$D, C76)</f>
      </c>
      <c r="E76" s="26">
        <f>SUMIFS('销售数据明细'!$H:$H, '销售数据明细'!$B:$B, "&gt;="&amp;DATE(2024,LEFT(A76,LEN(A76)-1),1), '销售数据明细'!$B:$B, "&lt;="&amp;EOMONTH(DATE(2024,LEFT(A76,LEN(A76)-1),1),0), '销售数据明细'!$C:$C, B76, '销售数据明细'!$D:$D, C76)</f>
      </c>
      <c r="F76" s="26">
        <f>SUMIFS('销售数据明细'!$J:$J, '销售数据明细'!$B:$B, "&gt;="&amp;DATE(2024,LEFT(A76,LEN(A76)-1),1), '销售数据明细'!$B:$B, "&lt;="&amp;EOMONTH(DATE(2024,LEFT(A76,LEN(A76)-1),1),0), '销售数据明细'!$C:$C, B76, '销售数据明细'!$D:$D, C76)</f>
      </c>
    </row>
    <row customHeight="true" ht="15" r="77">
      <c r="A77" s="21" t="s">
        <v>1043</v>
      </c>
      <c r="B77" s="21" t="s">
        <v>1044</v>
      </c>
      <c r="C77" s="21" t="s">
        <v>1045</v>
      </c>
      <c r="D77" s="22">
        <f>SUMIFS('销售数据明细'!$F:$F, '销售数据明细'!$B:$B, "&gt;="&amp;DATE(2024,LEFT(A77,LEN(A77)-1),1), '销售数据明细'!$B:$B, "&lt;="&amp;EOMONTH(DATE(2024,LEFT(A77,LEN(A77)-1),1),0), '销售数据明细'!$C:$C, B77, '销售数据明细'!$D:$D, C77)</f>
      </c>
      <c r="E77" s="23">
        <f>SUMIFS('销售数据明细'!$H:$H, '销售数据明细'!$B:$B, "&gt;="&amp;DATE(2024,LEFT(A77,LEN(A77)-1),1), '销售数据明细'!$B:$B, "&lt;="&amp;EOMONTH(DATE(2024,LEFT(A77,LEN(A77)-1),1),0), '销售数据明细'!$C:$C, B77, '销售数据明细'!$D:$D, C77)</f>
      </c>
      <c r="F77" s="23">
        <f>SUMIFS('销售数据明细'!$J:$J, '销售数据明细'!$B:$B, "&gt;="&amp;DATE(2024,LEFT(A77,LEN(A77)-1),1), '销售数据明细'!$B:$B, "&lt;="&amp;EOMONTH(DATE(2024,LEFT(A77,LEN(A77)-1),1),0), '销售数据明细'!$C:$C, B77, '销售数据明细'!$D:$D, C77)</f>
      </c>
    </row>
    <row customHeight="true" ht="15" r="78">
      <c r="A78" s="24" t="s">
        <v>1046</v>
      </c>
      <c r="B78" s="24" t="s">
        <v>1047</v>
      </c>
      <c r="C78" s="24" t="s">
        <v>1048</v>
      </c>
      <c r="D78" s="25">
        <f>SUMIFS('销售数据明细'!$F:$F, '销售数据明细'!$B:$B, "&gt;="&amp;DATE(2024,LEFT(A78,LEN(A78)-1),1), '销售数据明细'!$B:$B, "&lt;="&amp;EOMONTH(DATE(2024,LEFT(A78,LEN(A78)-1),1),0), '销售数据明细'!$C:$C, B78, '销售数据明细'!$D:$D, C78)</f>
      </c>
      <c r="E78" s="26">
        <f>SUMIFS('销售数据明细'!$H:$H, '销售数据明细'!$B:$B, "&gt;="&amp;DATE(2024,LEFT(A78,LEN(A78)-1),1), '销售数据明细'!$B:$B, "&lt;="&amp;EOMONTH(DATE(2024,LEFT(A78,LEN(A78)-1),1),0), '销售数据明细'!$C:$C, B78, '销售数据明细'!$D:$D, C78)</f>
      </c>
      <c r="F78" s="26">
        <f>SUMIFS('销售数据明细'!$J:$J, '销售数据明细'!$B:$B, "&gt;="&amp;DATE(2024,LEFT(A78,LEN(A78)-1),1), '销售数据明细'!$B:$B, "&lt;="&amp;EOMONTH(DATE(2024,LEFT(A78,LEN(A78)-1),1),0), '销售数据明细'!$C:$C, B78, '销售数据明细'!$D:$D, C78)</f>
      </c>
    </row>
    <row customHeight="true" ht="15" r="79">
      <c r="A79" s="21" t="s">
        <v>1049</v>
      </c>
      <c r="B79" s="21" t="s">
        <v>1050</v>
      </c>
      <c r="C79" s="21" t="s">
        <v>1051</v>
      </c>
      <c r="D79" s="22">
        <f>SUMIFS('销售数据明细'!$F:$F, '销售数据明细'!$B:$B, "&gt;="&amp;DATE(2024,LEFT(A79,LEN(A79)-1),1), '销售数据明细'!$B:$B, "&lt;="&amp;EOMONTH(DATE(2024,LEFT(A79,LEN(A79)-1),1),0), '销售数据明细'!$C:$C, B79, '销售数据明细'!$D:$D, C79)</f>
      </c>
      <c r="E79" s="23">
        <f>SUMIFS('销售数据明细'!$H:$H, '销售数据明细'!$B:$B, "&gt;="&amp;DATE(2024,LEFT(A79,LEN(A79)-1),1), '销售数据明细'!$B:$B, "&lt;="&amp;EOMONTH(DATE(2024,LEFT(A79,LEN(A79)-1),1),0), '销售数据明细'!$C:$C, B79, '销售数据明细'!$D:$D, C79)</f>
      </c>
      <c r="F79" s="23">
        <f>SUMIFS('销售数据明细'!$J:$J, '销售数据明细'!$B:$B, "&gt;="&amp;DATE(2024,LEFT(A79,LEN(A79)-1),1), '销售数据明细'!$B:$B, "&lt;="&amp;EOMONTH(DATE(2024,LEFT(A79,LEN(A79)-1),1),0), '销售数据明细'!$C:$C, B79, '销售数据明细'!$D:$D, C79)</f>
      </c>
    </row>
    <row customHeight="true" ht="15" r="80">
      <c r="A80" s="24" t="s">
        <v>1052</v>
      </c>
      <c r="B80" s="24" t="s">
        <v>1053</v>
      </c>
      <c r="C80" s="24" t="s">
        <v>1054</v>
      </c>
      <c r="D80" s="25">
        <f>SUMIFS('销售数据明细'!$F:$F, '销售数据明细'!$B:$B, "&gt;="&amp;DATE(2024,LEFT(A80,LEN(A80)-1),1), '销售数据明细'!$B:$B, "&lt;="&amp;EOMONTH(DATE(2024,LEFT(A80,LEN(A80)-1),1),0), '销售数据明细'!$C:$C, B80, '销售数据明细'!$D:$D, C80)</f>
      </c>
      <c r="E80" s="26">
        <f>SUMIFS('销售数据明细'!$H:$H, '销售数据明细'!$B:$B, "&gt;="&amp;DATE(2024,LEFT(A80,LEN(A80)-1),1), '销售数据明细'!$B:$B, "&lt;="&amp;EOMONTH(DATE(2024,LEFT(A80,LEN(A80)-1),1),0), '销售数据明细'!$C:$C, B80, '销售数据明细'!$D:$D, C80)</f>
      </c>
      <c r="F80" s="26">
        <f>SUMIFS('销售数据明细'!$J:$J, '销售数据明细'!$B:$B, "&gt;="&amp;DATE(2024,LEFT(A80,LEN(A80)-1),1), '销售数据明细'!$B:$B, "&lt;="&amp;EOMONTH(DATE(2024,LEFT(A80,LEN(A80)-1),1),0), '销售数据明细'!$C:$C, B80, '销售数据明细'!$D:$D, C80)</f>
      </c>
    </row>
    <row customHeight="true" ht="15" r="81">
      <c r="A81" s="21" t="s">
        <v>1055</v>
      </c>
      <c r="B81" s="21" t="s">
        <v>1056</v>
      </c>
      <c r="C81" s="21" t="s">
        <v>1057</v>
      </c>
      <c r="D81" s="22">
        <f>SUMIFS('销售数据明细'!$F:$F, '销售数据明细'!$B:$B, "&gt;="&amp;DATE(2024,LEFT(A81,LEN(A81)-1),1), '销售数据明细'!$B:$B, "&lt;="&amp;EOMONTH(DATE(2024,LEFT(A81,LEN(A81)-1),1),0), '销售数据明细'!$C:$C, B81, '销售数据明细'!$D:$D, C81)</f>
      </c>
      <c r="E81" s="23">
        <f>SUMIFS('销售数据明细'!$H:$H, '销售数据明细'!$B:$B, "&gt;="&amp;DATE(2024,LEFT(A81,LEN(A81)-1),1), '销售数据明细'!$B:$B, "&lt;="&amp;EOMONTH(DATE(2024,LEFT(A81,LEN(A81)-1),1),0), '销售数据明细'!$C:$C, B81, '销售数据明细'!$D:$D, C81)</f>
      </c>
      <c r="F81" s="23">
        <f>SUMIFS('销售数据明细'!$J:$J, '销售数据明细'!$B:$B, "&gt;="&amp;DATE(2024,LEFT(A81,LEN(A81)-1),1), '销售数据明细'!$B:$B, "&lt;="&amp;EOMONTH(DATE(2024,LEFT(A81,LEN(A81)-1),1),0), '销售数据明细'!$C:$C, B81, '销售数据明细'!$D:$D, C81)</f>
      </c>
    </row>
    <row customHeight="true" ht="15" r="82">
      <c r="A82" s="24" t="s">
        <v>1058</v>
      </c>
      <c r="B82" s="24" t="s">
        <v>1059</v>
      </c>
      <c r="C82" s="24" t="s">
        <v>1060</v>
      </c>
      <c r="D82" s="25">
        <f>SUMIFS('销售数据明细'!$F:$F, '销售数据明细'!$B:$B, "&gt;="&amp;DATE(2024,LEFT(A82,LEN(A82)-1),1), '销售数据明细'!$B:$B, "&lt;="&amp;EOMONTH(DATE(2024,LEFT(A82,LEN(A82)-1),1),0), '销售数据明细'!$C:$C, B82, '销售数据明细'!$D:$D, C82)</f>
      </c>
      <c r="E82" s="26">
        <f>SUMIFS('销售数据明细'!$H:$H, '销售数据明细'!$B:$B, "&gt;="&amp;DATE(2024,LEFT(A82,LEN(A82)-1),1), '销售数据明细'!$B:$B, "&lt;="&amp;EOMONTH(DATE(2024,LEFT(A82,LEN(A82)-1),1),0), '销售数据明细'!$C:$C, B82, '销售数据明细'!$D:$D, C82)</f>
      </c>
      <c r="F82" s="26">
        <f>SUMIFS('销售数据明细'!$J:$J, '销售数据明细'!$B:$B, "&gt;="&amp;DATE(2024,LEFT(A82,LEN(A82)-1),1), '销售数据明细'!$B:$B, "&lt;="&amp;EOMONTH(DATE(2024,LEFT(A82,LEN(A82)-1),1),0), '销售数据明细'!$C:$C, B82, '销售数据明细'!$D:$D, C82)</f>
      </c>
    </row>
    <row customHeight="true" ht="15" r="83">
      <c r="A83" s="21" t="s">
        <v>1061</v>
      </c>
      <c r="B83" s="21" t="s">
        <v>1062</v>
      </c>
      <c r="C83" s="21" t="s">
        <v>1063</v>
      </c>
      <c r="D83" s="22">
        <f>SUMIFS('销售数据明细'!$F:$F, '销售数据明细'!$B:$B, "&gt;="&amp;DATE(2024,LEFT(A83,LEN(A83)-1),1), '销售数据明细'!$B:$B, "&lt;="&amp;EOMONTH(DATE(2024,LEFT(A83,LEN(A83)-1),1),0), '销售数据明细'!$C:$C, B83, '销售数据明细'!$D:$D, C83)</f>
      </c>
      <c r="E83" s="23">
        <f>SUMIFS('销售数据明细'!$H:$H, '销售数据明细'!$B:$B, "&gt;="&amp;DATE(2024,LEFT(A83,LEN(A83)-1),1), '销售数据明细'!$B:$B, "&lt;="&amp;EOMONTH(DATE(2024,LEFT(A83,LEN(A83)-1),1),0), '销售数据明细'!$C:$C, B83, '销售数据明细'!$D:$D, C83)</f>
      </c>
      <c r="F83" s="23">
        <f>SUMIFS('销售数据明细'!$J:$J, '销售数据明细'!$B:$B, "&gt;="&amp;DATE(2024,LEFT(A83,LEN(A83)-1),1), '销售数据明细'!$B:$B, "&lt;="&amp;EOMONTH(DATE(2024,LEFT(A83,LEN(A83)-1),1),0), '销售数据明细'!$C:$C, B83, '销售数据明细'!$D:$D, C83)</f>
      </c>
    </row>
    <row customHeight="true" ht="15" r="84">
      <c r="A84" s="24" t="s">
        <v>1064</v>
      </c>
      <c r="B84" s="24" t="s">
        <v>1065</v>
      </c>
      <c r="C84" s="24" t="s">
        <v>1066</v>
      </c>
      <c r="D84" s="25">
        <f>SUMIFS('销售数据明细'!$F:$F, '销售数据明细'!$B:$B, "&gt;="&amp;DATE(2024,LEFT(A84,LEN(A84)-1),1), '销售数据明细'!$B:$B, "&lt;="&amp;EOMONTH(DATE(2024,LEFT(A84,LEN(A84)-1),1),0), '销售数据明细'!$C:$C, B84, '销售数据明细'!$D:$D, C84)</f>
      </c>
      <c r="E84" s="26">
        <f>SUMIFS('销售数据明细'!$H:$H, '销售数据明细'!$B:$B, "&gt;="&amp;DATE(2024,LEFT(A84,LEN(A84)-1),1), '销售数据明细'!$B:$B, "&lt;="&amp;EOMONTH(DATE(2024,LEFT(A84,LEN(A84)-1),1),0), '销售数据明细'!$C:$C, B84, '销售数据明细'!$D:$D, C84)</f>
      </c>
      <c r="F84" s="26">
        <f>SUMIFS('销售数据明细'!$J:$J, '销售数据明细'!$B:$B, "&gt;="&amp;DATE(2024,LEFT(A84,LEN(A84)-1),1), '销售数据明细'!$B:$B, "&lt;="&amp;EOMONTH(DATE(2024,LEFT(A84,LEN(A84)-1),1),0), '销售数据明细'!$C:$C, B84, '销售数据明细'!$D:$D, C84)</f>
      </c>
    </row>
    <row customHeight="true" ht="15" r="85">
      <c r="A85" s="21" t="s">
        <v>1067</v>
      </c>
      <c r="B85" s="21" t="s">
        <v>1068</v>
      </c>
      <c r="C85" s="21" t="s">
        <v>1069</v>
      </c>
      <c r="D85" s="22">
        <f>SUMIFS('销售数据明细'!$F:$F, '销售数据明细'!$B:$B, "&gt;="&amp;DATE(2024,LEFT(A85,LEN(A85)-1),1), '销售数据明细'!$B:$B, "&lt;="&amp;EOMONTH(DATE(2024,LEFT(A85,LEN(A85)-1),1),0), '销售数据明细'!$C:$C, B85, '销售数据明细'!$D:$D, C85)</f>
      </c>
      <c r="E85" s="23">
        <f>SUMIFS('销售数据明细'!$H:$H, '销售数据明细'!$B:$B, "&gt;="&amp;DATE(2024,LEFT(A85,LEN(A85)-1),1), '销售数据明细'!$B:$B, "&lt;="&amp;EOMONTH(DATE(2024,LEFT(A85,LEN(A85)-1),1),0), '销售数据明细'!$C:$C, B85, '销售数据明细'!$D:$D, C85)</f>
      </c>
      <c r="F85" s="23">
        <f>SUMIFS('销售数据明细'!$J:$J, '销售数据明细'!$B:$B, "&gt;="&amp;DATE(2024,LEFT(A85,LEN(A85)-1),1), '销售数据明细'!$B:$B, "&lt;="&amp;EOMONTH(DATE(2024,LEFT(A85,LEN(A85)-1),1),0), '销售数据明细'!$C:$C, B85, '销售数据明细'!$D:$D, C85)</f>
      </c>
    </row>
    <row customHeight="true" ht="15" r="86">
      <c r="A86" s="24" t="s">
        <v>1070</v>
      </c>
      <c r="B86" s="24" t="s">
        <v>1071</v>
      </c>
      <c r="C86" s="24" t="s">
        <v>1072</v>
      </c>
      <c r="D86" s="25">
        <f>SUMIFS('销售数据明细'!$F:$F, '销售数据明细'!$B:$B, "&gt;="&amp;DATE(2024,LEFT(A86,LEN(A86)-1),1), '销售数据明细'!$B:$B, "&lt;="&amp;EOMONTH(DATE(2024,LEFT(A86,LEN(A86)-1),1),0), '销售数据明细'!$C:$C, B86, '销售数据明细'!$D:$D, C86)</f>
      </c>
      <c r="E86" s="26">
        <f>SUMIFS('销售数据明细'!$H:$H, '销售数据明细'!$B:$B, "&gt;="&amp;DATE(2024,LEFT(A86,LEN(A86)-1),1), '销售数据明细'!$B:$B, "&lt;="&amp;EOMONTH(DATE(2024,LEFT(A86,LEN(A86)-1),1),0), '销售数据明细'!$C:$C, B86, '销售数据明细'!$D:$D, C86)</f>
      </c>
      <c r="F86" s="26">
        <f>SUMIFS('销售数据明细'!$J:$J, '销售数据明细'!$B:$B, "&gt;="&amp;DATE(2024,LEFT(A86,LEN(A86)-1),1), '销售数据明细'!$B:$B, "&lt;="&amp;EOMONTH(DATE(2024,LEFT(A86,LEN(A86)-1),1),0), '销售数据明细'!$C:$C, B86, '销售数据明细'!$D:$D, C86)</f>
      </c>
    </row>
    <row customHeight="true" ht="15" r="87">
      <c r="A87" s="21" t="s">
        <v>1073</v>
      </c>
      <c r="B87" s="21" t="s">
        <v>1074</v>
      </c>
      <c r="C87" s="21" t="s">
        <v>1075</v>
      </c>
      <c r="D87" s="22">
        <f>SUMIFS('销售数据明细'!$F:$F, '销售数据明细'!$B:$B, "&gt;="&amp;DATE(2024,LEFT(A87,LEN(A87)-1),1), '销售数据明细'!$B:$B, "&lt;="&amp;EOMONTH(DATE(2024,LEFT(A87,LEN(A87)-1),1),0), '销售数据明细'!$C:$C, B87, '销售数据明细'!$D:$D, C87)</f>
      </c>
      <c r="E87" s="23">
        <f>SUMIFS('销售数据明细'!$H:$H, '销售数据明细'!$B:$B, "&gt;="&amp;DATE(2024,LEFT(A87,LEN(A87)-1),1), '销售数据明细'!$B:$B, "&lt;="&amp;EOMONTH(DATE(2024,LEFT(A87,LEN(A87)-1),1),0), '销售数据明细'!$C:$C, B87, '销售数据明细'!$D:$D, C87)</f>
      </c>
      <c r="F87" s="23">
        <f>SUMIFS('销售数据明细'!$J:$J, '销售数据明细'!$B:$B, "&gt;="&amp;DATE(2024,LEFT(A87,LEN(A87)-1),1), '销售数据明细'!$B:$B, "&lt;="&amp;EOMONTH(DATE(2024,LEFT(A87,LEN(A87)-1),1),0), '销售数据明细'!$C:$C, B87, '销售数据明细'!$D:$D, C87)</f>
      </c>
    </row>
    <row customHeight="true" ht="15" r="88">
      <c r="A88" s="24" t="s">
        <v>1076</v>
      </c>
      <c r="B88" s="24" t="s">
        <v>1077</v>
      </c>
      <c r="C88" s="24" t="s">
        <v>1078</v>
      </c>
      <c r="D88" s="25">
        <f>SUMIFS('销售数据明细'!$F:$F, '销售数据明细'!$B:$B, "&gt;="&amp;DATE(2024,LEFT(A88,LEN(A88)-1),1), '销售数据明细'!$B:$B, "&lt;="&amp;EOMONTH(DATE(2024,LEFT(A88,LEN(A88)-1),1),0), '销售数据明细'!$C:$C, B88, '销售数据明细'!$D:$D, C88)</f>
      </c>
      <c r="E88" s="26">
        <f>SUMIFS('销售数据明细'!$H:$H, '销售数据明细'!$B:$B, "&gt;="&amp;DATE(2024,LEFT(A88,LEN(A88)-1),1), '销售数据明细'!$B:$B, "&lt;="&amp;EOMONTH(DATE(2024,LEFT(A88,LEN(A88)-1),1),0), '销售数据明细'!$C:$C, B88, '销售数据明细'!$D:$D, C88)</f>
      </c>
      <c r="F88" s="26">
        <f>SUMIFS('销售数据明细'!$J:$J, '销售数据明细'!$B:$B, "&gt;="&amp;DATE(2024,LEFT(A88,LEN(A88)-1),1), '销售数据明细'!$B:$B, "&lt;="&amp;EOMONTH(DATE(2024,LEFT(A88,LEN(A88)-1),1),0), '销售数据明细'!$C:$C, B88, '销售数据明细'!$D:$D, C88)</f>
      </c>
    </row>
    <row customHeight="true" ht="15" r="89">
      <c r="A89" s="21" t="s">
        <v>1079</v>
      </c>
      <c r="B89" s="21" t="s">
        <v>1080</v>
      </c>
      <c r="C89" s="21" t="s">
        <v>1081</v>
      </c>
      <c r="D89" s="22">
        <f>SUMIFS('销售数据明细'!$F:$F, '销售数据明细'!$B:$B, "&gt;="&amp;DATE(2024,LEFT(A89,LEN(A89)-1),1), '销售数据明细'!$B:$B, "&lt;="&amp;EOMONTH(DATE(2024,LEFT(A89,LEN(A89)-1),1),0), '销售数据明细'!$C:$C, B89, '销售数据明细'!$D:$D, C89)</f>
      </c>
      <c r="E89" s="23">
        <f>SUMIFS('销售数据明细'!$H:$H, '销售数据明细'!$B:$B, "&gt;="&amp;DATE(2024,LEFT(A89,LEN(A89)-1),1), '销售数据明细'!$B:$B, "&lt;="&amp;EOMONTH(DATE(2024,LEFT(A89,LEN(A89)-1),1),0), '销售数据明细'!$C:$C, B89, '销售数据明细'!$D:$D, C89)</f>
      </c>
      <c r="F89" s="23">
        <f>SUMIFS('销售数据明细'!$J:$J, '销售数据明细'!$B:$B, "&gt;="&amp;DATE(2024,LEFT(A89,LEN(A89)-1),1), '销售数据明细'!$B:$B, "&lt;="&amp;EOMONTH(DATE(2024,LEFT(A89,LEN(A89)-1),1),0), '销售数据明细'!$C:$C, B89, '销售数据明细'!$D:$D, C89)</f>
      </c>
    </row>
    <row customHeight="true" ht="15" r="90">
      <c r="A90" s="24" t="s">
        <v>1082</v>
      </c>
      <c r="B90" s="24" t="s">
        <v>1083</v>
      </c>
      <c r="C90" s="24" t="s">
        <v>1084</v>
      </c>
      <c r="D90" s="25">
        <f>SUMIFS('销售数据明细'!$F:$F, '销售数据明细'!$B:$B, "&gt;="&amp;DATE(2024,LEFT(A90,LEN(A90)-1),1), '销售数据明细'!$B:$B, "&lt;="&amp;EOMONTH(DATE(2024,LEFT(A90,LEN(A90)-1),1),0), '销售数据明细'!$C:$C, B90, '销售数据明细'!$D:$D, C90)</f>
      </c>
      <c r="E90" s="26">
        <f>SUMIFS('销售数据明细'!$H:$H, '销售数据明细'!$B:$B, "&gt;="&amp;DATE(2024,LEFT(A90,LEN(A90)-1),1), '销售数据明细'!$B:$B, "&lt;="&amp;EOMONTH(DATE(2024,LEFT(A90,LEN(A90)-1),1),0), '销售数据明细'!$C:$C, B90, '销售数据明细'!$D:$D, C90)</f>
      </c>
      <c r="F90" s="26">
        <f>SUMIFS('销售数据明细'!$J:$J, '销售数据明细'!$B:$B, "&gt;="&amp;DATE(2024,LEFT(A90,LEN(A90)-1),1), '销售数据明细'!$B:$B, "&lt;="&amp;EOMONTH(DATE(2024,LEFT(A90,LEN(A90)-1),1),0), '销售数据明细'!$C:$C, B90, '销售数据明细'!$D:$D, C90)</f>
      </c>
    </row>
    <row customHeight="true" ht="15" r="91">
      <c r="A91" s="21" t="s">
        <v>1085</v>
      </c>
      <c r="B91" s="21" t="s">
        <v>1086</v>
      </c>
      <c r="C91" s="21" t="s">
        <v>1087</v>
      </c>
      <c r="D91" s="22">
        <f>SUMIFS('销售数据明细'!$F:$F, '销售数据明细'!$B:$B, "&gt;="&amp;DATE(2024,LEFT(A91,LEN(A91)-1),1), '销售数据明细'!$B:$B, "&lt;="&amp;EOMONTH(DATE(2024,LEFT(A91,LEN(A91)-1),1),0), '销售数据明细'!$C:$C, B91, '销售数据明细'!$D:$D, C91)</f>
      </c>
      <c r="E91" s="23">
        <f>SUMIFS('销售数据明细'!$H:$H, '销售数据明细'!$B:$B, "&gt;="&amp;DATE(2024,LEFT(A91,LEN(A91)-1),1), '销售数据明细'!$B:$B, "&lt;="&amp;EOMONTH(DATE(2024,LEFT(A91,LEN(A91)-1),1),0), '销售数据明细'!$C:$C, B91, '销售数据明细'!$D:$D, C91)</f>
      </c>
      <c r="F91" s="23">
        <f>SUMIFS('销售数据明细'!$J:$J, '销售数据明细'!$B:$B, "&gt;="&amp;DATE(2024,LEFT(A91,LEN(A91)-1),1), '销售数据明细'!$B:$B, "&lt;="&amp;EOMONTH(DATE(2024,LEFT(A91,LEN(A91)-1),1),0), '销售数据明细'!$C:$C, B91, '销售数据明细'!$D:$D, C91)</f>
      </c>
    </row>
    <row customHeight="true" ht="15" r="92">
      <c r="A92" s="24" t="s">
        <v>1088</v>
      </c>
      <c r="B92" s="24" t="s">
        <v>1089</v>
      </c>
      <c r="C92" s="24" t="s">
        <v>1090</v>
      </c>
      <c r="D92" s="25">
        <f>SUMIFS('销售数据明细'!$F:$F, '销售数据明细'!$B:$B, "&gt;="&amp;DATE(2024,LEFT(A92,LEN(A92)-1),1), '销售数据明细'!$B:$B, "&lt;="&amp;EOMONTH(DATE(2024,LEFT(A92,LEN(A92)-1),1),0), '销售数据明细'!$C:$C, B92, '销售数据明细'!$D:$D, C92)</f>
      </c>
      <c r="E92" s="26">
        <f>SUMIFS('销售数据明细'!$H:$H, '销售数据明细'!$B:$B, "&gt;="&amp;DATE(2024,LEFT(A92,LEN(A92)-1),1), '销售数据明细'!$B:$B, "&lt;="&amp;EOMONTH(DATE(2024,LEFT(A92,LEN(A92)-1),1),0), '销售数据明细'!$C:$C, B92, '销售数据明细'!$D:$D, C92)</f>
      </c>
      <c r="F92" s="26">
        <f>SUMIFS('销售数据明细'!$J:$J, '销售数据明细'!$B:$B, "&gt;="&amp;DATE(2024,LEFT(A92,LEN(A92)-1),1), '销售数据明细'!$B:$B, "&lt;="&amp;EOMONTH(DATE(2024,LEFT(A92,LEN(A92)-1),1),0), '销售数据明细'!$C:$C, B92, '销售数据明细'!$D:$D, C92)</f>
      </c>
    </row>
    <row customHeight="true" ht="15" r="93">
      <c r="A93" s="21" t="s">
        <v>1091</v>
      </c>
      <c r="B93" s="21" t="s">
        <v>1092</v>
      </c>
      <c r="C93" s="21" t="s">
        <v>1093</v>
      </c>
      <c r="D93" s="22">
        <f>SUMIFS('销售数据明细'!$F:$F, '销售数据明细'!$B:$B, "&gt;="&amp;DATE(2024,LEFT(A93,LEN(A93)-1),1), '销售数据明细'!$B:$B, "&lt;="&amp;EOMONTH(DATE(2024,LEFT(A93,LEN(A93)-1),1),0), '销售数据明细'!$C:$C, B93, '销售数据明细'!$D:$D, C93)</f>
      </c>
      <c r="E93" s="23">
        <f>SUMIFS('销售数据明细'!$H:$H, '销售数据明细'!$B:$B, "&gt;="&amp;DATE(2024,LEFT(A93,LEN(A93)-1),1), '销售数据明细'!$B:$B, "&lt;="&amp;EOMONTH(DATE(2024,LEFT(A93,LEN(A93)-1),1),0), '销售数据明细'!$C:$C, B93, '销售数据明细'!$D:$D, C93)</f>
      </c>
      <c r="F93" s="23">
        <f>SUMIFS('销售数据明细'!$J:$J, '销售数据明细'!$B:$B, "&gt;="&amp;DATE(2024,LEFT(A93,LEN(A93)-1),1), '销售数据明细'!$B:$B, "&lt;="&amp;EOMONTH(DATE(2024,LEFT(A93,LEN(A93)-1),1),0), '销售数据明细'!$C:$C, B93, '销售数据明细'!$D:$D, C93)</f>
      </c>
    </row>
    <row customHeight="true" ht="15" r="94">
      <c r="A94" s="24" t="s">
        <v>1094</v>
      </c>
      <c r="B94" s="24" t="s">
        <v>1095</v>
      </c>
      <c r="C94" s="24" t="s">
        <v>1096</v>
      </c>
      <c r="D94" s="25">
        <f>SUMIFS('销售数据明细'!$F:$F, '销售数据明细'!$B:$B, "&gt;="&amp;DATE(2024,LEFT(A94,LEN(A94)-1),1), '销售数据明细'!$B:$B, "&lt;="&amp;EOMONTH(DATE(2024,LEFT(A94,LEN(A94)-1),1),0), '销售数据明细'!$C:$C, B94, '销售数据明细'!$D:$D, C94)</f>
      </c>
      <c r="E94" s="26">
        <f>SUMIFS('销售数据明细'!$H:$H, '销售数据明细'!$B:$B, "&gt;="&amp;DATE(2024,LEFT(A94,LEN(A94)-1),1), '销售数据明细'!$B:$B, "&lt;="&amp;EOMONTH(DATE(2024,LEFT(A94,LEN(A94)-1),1),0), '销售数据明细'!$C:$C, B94, '销售数据明细'!$D:$D, C94)</f>
      </c>
      <c r="F94" s="26">
        <f>SUMIFS('销售数据明细'!$J:$J, '销售数据明细'!$B:$B, "&gt;="&amp;DATE(2024,LEFT(A94,LEN(A94)-1),1), '销售数据明细'!$B:$B, "&lt;="&amp;EOMONTH(DATE(2024,LEFT(A94,LEN(A94)-1),1),0), '销售数据明细'!$C:$C, B94, '销售数据明细'!$D:$D, C94)</f>
      </c>
    </row>
    <row customHeight="true" ht="15" r="95">
      <c r="A95" s="21" t="s">
        <v>1097</v>
      </c>
      <c r="B95" s="21" t="s">
        <v>1098</v>
      </c>
      <c r="C95" s="21" t="s">
        <v>1099</v>
      </c>
      <c r="D95" s="22">
        <f>SUMIFS('销售数据明细'!$F:$F, '销售数据明细'!$B:$B, "&gt;="&amp;DATE(2024,LEFT(A95,LEN(A95)-1),1), '销售数据明细'!$B:$B, "&lt;="&amp;EOMONTH(DATE(2024,LEFT(A95,LEN(A95)-1),1),0), '销售数据明细'!$C:$C, B95, '销售数据明细'!$D:$D, C95)</f>
      </c>
      <c r="E95" s="23">
        <f>SUMIFS('销售数据明细'!$H:$H, '销售数据明细'!$B:$B, "&gt;="&amp;DATE(2024,LEFT(A95,LEN(A95)-1),1), '销售数据明细'!$B:$B, "&lt;="&amp;EOMONTH(DATE(2024,LEFT(A95,LEN(A95)-1),1),0), '销售数据明细'!$C:$C, B95, '销售数据明细'!$D:$D, C95)</f>
      </c>
      <c r="F95" s="23">
        <f>SUMIFS('销售数据明细'!$J:$J, '销售数据明细'!$B:$B, "&gt;="&amp;DATE(2024,LEFT(A95,LEN(A95)-1),1), '销售数据明细'!$B:$B, "&lt;="&amp;EOMONTH(DATE(2024,LEFT(A95,LEN(A95)-1),1),0), '销售数据明细'!$C:$C, B95, '销售数据明细'!$D:$D, C95)</f>
      </c>
    </row>
    <row customHeight="true" ht="15" r="96">
      <c r="A96" s="24" t="s">
        <v>1100</v>
      </c>
      <c r="B96" s="24" t="s">
        <v>1101</v>
      </c>
      <c r="C96" s="24" t="s">
        <v>1102</v>
      </c>
      <c r="D96" s="25">
        <f>SUMIFS('销售数据明细'!$F:$F, '销售数据明细'!$B:$B, "&gt;="&amp;DATE(2024,LEFT(A96,LEN(A96)-1),1), '销售数据明细'!$B:$B, "&lt;="&amp;EOMONTH(DATE(2024,LEFT(A96,LEN(A96)-1),1),0), '销售数据明细'!$C:$C, B96, '销售数据明细'!$D:$D, C96)</f>
      </c>
      <c r="E96" s="26">
        <f>SUMIFS('销售数据明细'!$H:$H, '销售数据明细'!$B:$B, "&gt;="&amp;DATE(2024,LEFT(A96,LEN(A96)-1),1), '销售数据明细'!$B:$B, "&lt;="&amp;EOMONTH(DATE(2024,LEFT(A96,LEN(A96)-1),1),0), '销售数据明细'!$C:$C, B96, '销售数据明细'!$D:$D, C96)</f>
      </c>
      <c r="F96" s="26">
        <f>SUMIFS('销售数据明细'!$J:$J, '销售数据明细'!$B:$B, "&gt;="&amp;DATE(2024,LEFT(A96,LEN(A96)-1),1), '销售数据明细'!$B:$B, "&lt;="&amp;EOMONTH(DATE(2024,LEFT(A96,LEN(A96)-1),1),0), '销售数据明细'!$C:$C, B96, '销售数据明细'!$D:$D, C96)</f>
      </c>
    </row>
    <row customHeight="true" ht="15" r="97">
      <c r="A97" s="21" t="s">
        <v>1103</v>
      </c>
      <c r="B97" s="21" t="s">
        <v>1104</v>
      </c>
      <c r="C97" s="21" t="s">
        <v>1105</v>
      </c>
      <c r="D97" s="22">
        <f>SUMIFS('销售数据明细'!$F:$F, '销售数据明细'!$B:$B, "&gt;="&amp;DATE(2024,LEFT(A97,LEN(A97)-1),1), '销售数据明细'!$B:$B, "&lt;="&amp;EOMONTH(DATE(2024,LEFT(A97,LEN(A97)-1),1),0), '销售数据明细'!$C:$C, B97, '销售数据明细'!$D:$D, C97)</f>
      </c>
      <c r="E97" s="23">
        <f>SUMIFS('销售数据明细'!$H:$H, '销售数据明细'!$B:$B, "&gt;="&amp;DATE(2024,LEFT(A97,LEN(A97)-1),1), '销售数据明细'!$B:$B, "&lt;="&amp;EOMONTH(DATE(2024,LEFT(A97,LEN(A97)-1),1),0), '销售数据明细'!$C:$C, B97, '销售数据明细'!$D:$D, C97)</f>
      </c>
      <c r="F97" s="23">
        <f>SUMIFS('销售数据明细'!$J:$J, '销售数据明细'!$B:$B, "&gt;="&amp;DATE(2024,LEFT(A97,LEN(A97)-1),1), '销售数据明细'!$B:$B, "&lt;="&amp;EOMONTH(DATE(2024,LEFT(A97,LEN(A97)-1),1),0), '销售数据明细'!$C:$C, B97, '销售数据明细'!$D:$D, C97)</f>
      </c>
    </row>
    <row customHeight="true" ht="15" r="98">
      <c r="A98" s="24" t="s">
        <v>1106</v>
      </c>
      <c r="B98" s="24" t="s">
        <v>1107</v>
      </c>
      <c r="C98" s="24" t="s">
        <v>1108</v>
      </c>
      <c r="D98" s="25">
        <f>SUMIFS('销售数据明细'!$F:$F, '销售数据明细'!$B:$B, "&gt;="&amp;DATE(2024,LEFT(A98,LEN(A98)-1),1), '销售数据明细'!$B:$B, "&lt;="&amp;EOMONTH(DATE(2024,LEFT(A98,LEN(A98)-1),1),0), '销售数据明细'!$C:$C, B98, '销售数据明细'!$D:$D, C98)</f>
      </c>
      <c r="E98" s="26">
        <f>SUMIFS('销售数据明细'!$H:$H, '销售数据明细'!$B:$B, "&gt;="&amp;DATE(2024,LEFT(A98,LEN(A98)-1),1), '销售数据明细'!$B:$B, "&lt;="&amp;EOMONTH(DATE(2024,LEFT(A98,LEN(A98)-1),1),0), '销售数据明细'!$C:$C, B98, '销售数据明细'!$D:$D, C98)</f>
      </c>
      <c r="F98" s="26">
        <f>SUMIFS('销售数据明细'!$J:$J, '销售数据明细'!$B:$B, "&gt;="&amp;DATE(2024,LEFT(A98,LEN(A98)-1),1), '销售数据明细'!$B:$B, "&lt;="&amp;EOMONTH(DATE(2024,LEFT(A98,LEN(A98)-1),1),0), '销售数据明细'!$C:$C, B98, '销售数据明细'!$D:$D, C98)</f>
      </c>
    </row>
    <row customHeight="true" ht="15" r="99">
      <c r="A99" s="21" t="s">
        <v>1109</v>
      </c>
      <c r="B99" s="21" t="s">
        <v>1110</v>
      </c>
      <c r="C99" s="21" t="s">
        <v>1111</v>
      </c>
      <c r="D99" s="22">
        <f>SUMIFS('销售数据明细'!$F:$F, '销售数据明细'!$B:$B, "&gt;="&amp;DATE(2024,LEFT(A99,LEN(A99)-1),1), '销售数据明细'!$B:$B, "&lt;="&amp;EOMONTH(DATE(2024,LEFT(A99,LEN(A99)-1),1),0), '销售数据明细'!$C:$C, B99, '销售数据明细'!$D:$D, C99)</f>
      </c>
      <c r="E99" s="23">
        <f>SUMIFS('销售数据明细'!$H:$H, '销售数据明细'!$B:$B, "&gt;="&amp;DATE(2024,LEFT(A99,LEN(A99)-1),1), '销售数据明细'!$B:$B, "&lt;="&amp;EOMONTH(DATE(2024,LEFT(A99,LEN(A99)-1),1),0), '销售数据明细'!$C:$C, B99, '销售数据明细'!$D:$D, C99)</f>
      </c>
      <c r="F99" s="23">
        <f>SUMIFS('销售数据明细'!$J:$J, '销售数据明细'!$B:$B, "&gt;="&amp;DATE(2024,LEFT(A99,LEN(A99)-1),1), '销售数据明细'!$B:$B, "&lt;="&amp;EOMONTH(DATE(2024,LEFT(A99,LEN(A99)-1),1),0), '销售数据明细'!$C:$C, B99, '销售数据明细'!$D:$D, C99)</f>
      </c>
    </row>
    <row customHeight="true" ht="15" r="100">
      <c r="A100" s="24" t="s">
        <v>1112</v>
      </c>
      <c r="B100" s="24" t="s">
        <v>1113</v>
      </c>
      <c r="C100" s="24" t="s">
        <v>1114</v>
      </c>
      <c r="D100" s="25">
        <f>SUMIFS('销售数据明细'!$F:$F, '销售数据明细'!$B:$B, "&gt;="&amp;DATE(2024,LEFT(A100,LEN(A100)-1),1), '销售数据明细'!$B:$B, "&lt;="&amp;EOMONTH(DATE(2024,LEFT(A100,LEN(A100)-1),1),0), '销售数据明细'!$C:$C, B100, '销售数据明细'!$D:$D, C100)</f>
      </c>
      <c r="E100" s="26">
        <f>SUMIFS('销售数据明细'!$H:$H, '销售数据明细'!$B:$B, "&gt;="&amp;DATE(2024,LEFT(A100,LEN(A100)-1),1), '销售数据明细'!$B:$B, "&lt;="&amp;EOMONTH(DATE(2024,LEFT(A100,LEN(A100)-1),1),0), '销售数据明细'!$C:$C, B100, '销售数据明细'!$D:$D, C100)</f>
      </c>
      <c r="F100" s="26">
        <f>SUMIFS('销售数据明细'!$J:$J, '销售数据明细'!$B:$B, "&gt;="&amp;DATE(2024,LEFT(A100,LEN(A100)-1),1), '销售数据明细'!$B:$B, "&lt;="&amp;EOMONTH(DATE(2024,LEFT(A100,LEN(A100)-1),1),0), '销售数据明细'!$C:$C, B100, '销售数据明细'!$D:$D, C100)</f>
      </c>
    </row>
    <row customHeight="true" ht="15" r="101">
      <c r="A101" s="21" t="s">
        <v>1115</v>
      </c>
      <c r="B101" s="21" t="s">
        <v>1116</v>
      </c>
      <c r="C101" s="21" t="s">
        <v>1117</v>
      </c>
      <c r="D101" s="22">
        <f>SUMIFS('销售数据明细'!$F:$F, '销售数据明细'!$B:$B, "&gt;="&amp;DATE(2024,LEFT(A101,LEN(A101)-1),1), '销售数据明细'!$B:$B, "&lt;="&amp;EOMONTH(DATE(2024,LEFT(A101,LEN(A101)-1),1),0), '销售数据明细'!$C:$C, B101, '销售数据明细'!$D:$D, C101)</f>
      </c>
      <c r="E101" s="23">
        <f>SUMIFS('销售数据明细'!$H:$H, '销售数据明细'!$B:$B, "&gt;="&amp;DATE(2024,LEFT(A101,LEN(A101)-1),1), '销售数据明细'!$B:$B, "&lt;="&amp;EOMONTH(DATE(2024,LEFT(A101,LEN(A101)-1),1),0), '销售数据明细'!$C:$C, B101, '销售数据明细'!$D:$D, C101)</f>
      </c>
      <c r="F101" s="23">
        <f>SUMIFS('销售数据明细'!$J:$J, '销售数据明细'!$B:$B, "&gt;="&amp;DATE(2024,LEFT(A101,LEN(A101)-1),1), '销售数据明细'!$B:$B, "&lt;="&amp;EOMONTH(DATE(2024,LEFT(A101,LEN(A101)-1),1),0), '销售数据明细'!$C:$C, B101, '销售数据明细'!$D:$D, C101)</f>
      </c>
    </row>
    <row customHeight="true" ht="15" r="102">
      <c r="A102" s="24" t="s">
        <v>1118</v>
      </c>
      <c r="B102" s="24" t="s">
        <v>1119</v>
      </c>
      <c r="C102" s="24" t="s">
        <v>1120</v>
      </c>
      <c r="D102" s="25">
        <f>SUMIFS('销售数据明细'!$F:$F, '销售数据明细'!$B:$B, "&gt;="&amp;DATE(2024,LEFT(A102,LEN(A102)-1),1), '销售数据明细'!$B:$B, "&lt;="&amp;EOMONTH(DATE(2024,LEFT(A102,LEN(A102)-1),1),0), '销售数据明细'!$C:$C, B102, '销售数据明细'!$D:$D, C102)</f>
      </c>
      <c r="E102" s="26">
        <f>SUMIFS('销售数据明细'!$H:$H, '销售数据明细'!$B:$B, "&gt;="&amp;DATE(2024,LEFT(A102,LEN(A102)-1),1), '销售数据明细'!$B:$B, "&lt;="&amp;EOMONTH(DATE(2024,LEFT(A102,LEN(A102)-1),1),0), '销售数据明细'!$C:$C, B102, '销售数据明细'!$D:$D, C102)</f>
      </c>
      <c r="F102" s="26">
        <f>SUMIFS('销售数据明细'!$J:$J, '销售数据明细'!$B:$B, "&gt;="&amp;DATE(2024,LEFT(A102,LEN(A102)-1),1), '销售数据明细'!$B:$B, "&lt;="&amp;EOMONTH(DATE(2024,LEFT(A102,LEN(A102)-1),1),0), '销售数据明细'!$C:$C, B102, '销售数据明细'!$D:$D, C102)</f>
      </c>
    </row>
    <row customHeight="true" ht="15" r="103">
      <c r="A103" s="21" t="s">
        <v>1121</v>
      </c>
      <c r="B103" s="21" t="s">
        <v>1122</v>
      </c>
      <c r="C103" s="21" t="s">
        <v>1123</v>
      </c>
      <c r="D103" s="22">
        <f>SUMIFS('销售数据明细'!$F:$F, '销售数据明细'!$B:$B, "&gt;="&amp;DATE(2024,LEFT(A103,LEN(A103)-1),1), '销售数据明细'!$B:$B, "&lt;="&amp;EOMONTH(DATE(2024,LEFT(A103,LEN(A103)-1),1),0), '销售数据明细'!$C:$C, B103, '销售数据明细'!$D:$D, C103)</f>
      </c>
      <c r="E103" s="23">
        <f>SUMIFS('销售数据明细'!$H:$H, '销售数据明细'!$B:$B, "&gt;="&amp;DATE(2024,LEFT(A103,LEN(A103)-1),1), '销售数据明细'!$B:$B, "&lt;="&amp;EOMONTH(DATE(2024,LEFT(A103,LEN(A103)-1),1),0), '销售数据明细'!$C:$C, B103, '销售数据明细'!$D:$D, C103)</f>
      </c>
      <c r="F103" s="23">
        <f>SUMIFS('销售数据明细'!$J:$J, '销售数据明细'!$B:$B, "&gt;="&amp;DATE(2024,LEFT(A103,LEN(A103)-1),1), '销售数据明细'!$B:$B, "&lt;="&amp;EOMONTH(DATE(2024,LEFT(A103,LEN(A103)-1),1),0), '销售数据明细'!$C:$C, B103, '销售数据明细'!$D:$D, C103)</f>
      </c>
    </row>
    <row customHeight="true" ht="15" r="104">
      <c r="A104" s="24" t="s">
        <v>1124</v>
      </c>
      <c r="B104" s="24" t="s">
        <v>1125</v>
      </c>
      <c r="C104" s="24" t="s">
        <v>1126</v>
      </c>
      <c r="D104" s="25">
        <f>SUMIFS('销售数据明细'!$F:$F, '销售数据明细'!$B:$B, "&gt;="&amp;DATE(2024,LEFT(A104,LEN(A104)-1),1), '销售数据明细'!$B:$B, "&lt;="&amp;EOMONTH(DATE(2024,LEFT(A104,LEN(A104)-1),1),0), '销售数据明细'!$C:$C, B104, '销售数据明细'!$D:$D, C104)</f>
      </c>
      <c r="E104" s="26">
        <f>SUMIFS('销售数据明细'!$H:$H, '销售数据明细'!$B:$B, "&gt;="&amp;DATE(2024,LEFT(A104,LEN(A104)-1),1), '销售数据明细'!$B:$B, "&lt;="&amp;EOMONTH(DATE(2024,LEFT(A104,LEN(A104)-1),1),0), '销售数据明细'!$C:$C, B104, '销售数据明细'!$D:$D, C104)</f>
      </c>
      <c r="F104" s="26">
        <f>SUMIFS('销售数据明细'!$J:$J, '销售数据明细'!$B:$B, "&gt;="&amp;DATE(2024,LEFT(A104,LEN(A104)-1),1), '销售数据明细'!$B:$B, "&lt;="&amp;EOMONTH(DATE(2024,LEFT(A104,LEN(A104)-1),1),0), '销售数据明细'!$C:$C, B104, '销售数据明细'!$D:$D, C104)</f>
      </c>
    </row>
    <row customHeight="true" ht="15" r="105">
      <c r="A105" s="21" t="s">
        <v>1127</v>
      </c>
      <c r="B105" s="21" t="s">
        <v>1128</v>
      </c>
      <c r="C105" s="21" t="s">
        <v>1129</v>
      </c>
      <c r="D105" s="22">
        <f>SUMIFS('销售数据明细'!$F:$F, '销售数据明细'!$B:$B, "&gt;="&amp;DATE(2024,LEFT(A105,LEN(A105)-1),1), '销售数据明细'!$B:$B, "&lt;="&amp;EOMONTH(DATE(2024,LEFT(A105,LEN(A105)-1),1),0), '销售数据明细'!$C:$C, B105, '销售数据明细'!$D:$D, C105)</f>
      </c>
      <c r="E105" s="23">
        <f>SUMIFS('销售数据明细'!$H:$H, '销售数据明细'!$B:$B, "&gt;="&amp;DATE(2024,LEFT(A105,LEN(A105)-1),1), '销售数据明细'!$B:$B, "&lt;="&amp;EOMONTH(DATE(2024,LEFT(A105,LEN(A105)-1),1),0), '销售数据明细'!$C:$C, B105, '销售数据明细'!$D:$D, C105)</f>
      </c>
      <c r="F105" s="23">
        <f>SUMIFS('销售数据明细'!$J:$J, '销售数据明细'!$B:$B, "&gt;="&amp;DATE(2024,LEFT(A105,LEN(A105)-1),1), '销售数据明细'!$B:$B, "&lt;="&amp;EOMONTH(DATE(2024,LEFT(A105,LEN(A105)-1),1),0), '销售数据明细'!$C:$C, B105, '销售数据明细'!$D:$D, C105)</f>
      </c>
    </row>
    <row customHeight="true" ht="15" r="106">
      <c r="A106" s="24" t="s">
        <v>1130</v>
      </c>
      <c r="B106" s="24" t="s">
        <v>1131</v>
      </c>
      <c r="C106" s="24" t="s">
        <v>1132</v>
      </c>
      <c r="D106" s="25">
        <f>SUMIFS('销售数据明细'!$F:$F, '销售数据明细'!$B:$B, "&gt;="&amp;DATE(2024,LEFT(A106,LEN(A106)-1),1), '销售数据明细'!$B:$B, "&lt;="&amp;EOMONTH(DATE(2024,LEFT(A106,LEN(A106)-1),1),0), '销售数据明细'!$C:$C, B106, '销售数据明细'!$D:$D, C106)</f>
      </c>
      <c r="E106" s="26">
        <f>SUMIFS('销售数据明细'!$H:$H, '销售数据明细'!$B:$B, "&gt;="&amp;DATE(2024,LEFT(A106,LEN(A106)-1),1), '销售数据明细'!$B:$B, "&lt;="&amp;EOMONTH(DATE(2024,LEFT(A106,LEN(A106)-1),1),0), '销售数据明细'!$C:$C, B106, '销售数据明细'!$D:$D, C106)</f>
      </c>
      <c r="F106" s="26">
        <f>SUMIFS('销售数据明细'!$J:$J, '销售数据明细'!$B:$B, "&gt;="&amp;DATE(2024,LEFT(A106,LEN(A106)-1),1), '销售数据明细'!$B:$B, "&lt;="&amp;EOMONTH(DATE(2024,LEFT(A106,LEN(A106)-1),1),0), '销售数据明细'!$C:$C, B106, '销售数据明细'!$D:$D, C106)</f>
      </c>
    </row>
    <row customHeight="true" ht="15" r="107">
      <c r="A107" s="21" t="s">
        <v>1133</v>
      </c>
      <c r="B107" s="21" t="s">
        <v>1134</v>
      </c>
      <c r="C107" s="21" t="s">
        <v>1135</v>
      </c>
      <c r="D107" s="22">
        <f>SUMIFS('销售数据明细'!$F:$F, '销售数据明细'!$B:$B, "&gt;="&amp;DATE(2024,LEFT(A107,LEN(A107)-1),1), '销售数据明细'!$B:$B, "&lt;="&amp;EOMONTH(DATE(2024,LEFT(A107,LEN(A107)-1),1),0), '销售数据明细'!$C:$C, B107, '销售数据明细'!$D:$D, C107)</f>
      </c>
      <c r="E107" s="23">
        <f>SUMIFS('销售数据明细'!$H:$H, '销售数据明细'!$B:$B, "&gt;="&amp;DATE(2024,LEFT(A107,LEN(A107)-1),1), '销售数据明细'!$B:$B, "&lt;="&amp;EOMONTH(DATE(2024,LEFT(A107,LEN(A107)-1),1),0), '销售数据明细'!$C:$C, B107, '销售数据明细'!$D:$D, C107)</f>
      </c>
      <c r="F107" s="23">
        <f>SUMIFS('销售数据明细'!$J:$J, '销售数据明细'!$B:$B, "&gt;="&amp;DATE(2024,LEFT(A107,LEN(A107)-1),1), '销售数据明细'!$B:$B, "&lt;="&amp;EOMONTH(DATE(2024,LEFT(A107,LEN(A107)-1),1),0), '销售数据明细'!$C:$C, B107, '销售数据明细'!$D:$D, C107)</f>
      </c>
    </row>
    <row customHeight="true" ht="15" r="108">
      <c r="A108" s="24" t="s">
        <v>1136</v>
      </c>
      <c r="B108" s="24" t="s">
        <v>1137</v>
      </c>
      <c r="C108" s="24" t="s">
        <v>1138</v>
      </c>
      <c r="D108" s="25">
        <f>SUMIFS('销售数据明细'!$F:$F, '销售数据明细'!$B:$B, "&gt;="&amp;DATE(2024,LEFT(A108,LEN(A108)-1),1), '销售数据明细'!$B:$B, "&lt;="&amp;EOMONTH(DATE(2024,LEFT(A108,LEN(A108)-1),1),0), '销售数据明细'!$C:$C, B108, '销售数据明细'!$D:$D, C108)</f>
      </c>
      <c r="E108" s="26">
        <f>SUMIFS('销售数据明细'!$H:$H, '销售数据明细'!$B:$B, "&gt;="&amp;DATE(2024,LEFT(A108,LEN(A108)-1),1), '销售数据明细'!$B:$B, "&lt;="&amp;EOMONTH(DATE(2024,LEFT(A108,LEN(A108)-1),1),0), '销售数据明细'!$C:$C, B108, '销售数据明细'!$D:$D, C108)</f>
      </c>
      <c r="F108" s="26">
        <f>SUMIFS('销售数据明细'!$J:$J, '销售数据明细'!$B:$B, "&gt;="&amp;DATE(2024,LEFT(A108,LEN(A108)-1),1), '销售数据明细'!$B:$B, "&lt;="&amp;EOMONTH(DATE(2024,LEFT(A108,LEN(A108)-1),1),0), '销售数据明细'!$C:$C, B108, '销售数据明细'!$D:$D, C108)</f>
      </c>
    </row>
    <row customHeight="true" ht="15" r="109">
      <c r="A109" s="21" t="s">
        <v>1139</v>
      </c>
      <c r="B109" s="21" t="s">
        <v>1140</v>
      </c>
      <c r="C109" s="21" t="s">
        <v>1141</v>
      </c>
      <c r="D109" s="22">
        <f>SUMIFS('销售数据明细'!$F:$F, '销售数据明细'!$B:$B, "&gt;="&amp;DATE(2024,LEFT(A109,LEN(A109)-1),1), '销售数据明细'!$B:$B, "&lt;="&amp;EOMONTH(DATE(2024,LEFT(A109,LEN(A109)-1),1),0), '销售数据明细'!$C:$C, B109, '销售数据明细'!$D:$D, C109)</f>
      </c>
      <c r="E109" s="23">
        <f>SUMIFS('销售数据明细'!$H:$H, '销售数据明细'!$B:$B, "&gt;="&amp;DATE(2024,LEFT(A109,LEN(A109)-1),1), '销售数据明细'!$B:$B, "&lt;="&amp;EOMONTH(DATE(2024,LEFT(A109,LEN(A109)-1),1),0), '销售数据明细'!$C:$C, B109, '销售数据明细'!$D:$D, C109)</f>
      </c>
      <c r="F109" s="23">
        <f>SUMIFS('销售数据明细'!$J:$J, '销售数据明细'!$B:$B, "&gt;="&amp;DATE(2024,LEFT(A109,LEN(A109)-1),1), '销售数据明细'!$B:$B, "&lt;="&amp;EOMONTH(DATE(2024,LEFT(A109,LEN(A109)-1),1),0), '销售数据明细'!$C:$C, B109, '销售数据明细'!$D:$D, C109)</f>
      </c>
    </row>
    <row customHeight="true" ht="15" r="110">
      <c r="A110" s="24" t="s">
        <v>1142</v>
      </c>
      <c r="B110" s="24" t="s">
        <v>1143</v>
      </c>
      <c r="C110" s="24" t="s">
        <v>1144</v>
      </c>
      <c r="D110" s="25">
        <f>SUMIFS('销售数据明细'!$F:$F, '销售数据明细'!$B:$B, "&gt;="&amp;DATE(2024,LEFT(A110,LEN(A110)-1),1), '销售数据明细'!$B:$B, "&lt;="&amp;EOMONTH(DATE(2024,LEFT(A110,LEN(A110)-1),1),0), '销售数据明细'!$C:$C, B110, '销售数据明细'!$D:$D, C110)</f>
      </c>
      <c r="E110" s="26">
        <f>SUMIFS('销售数据明细'!$H:$H, '销售数据明细'!$B:$B, "&gt;="&amp;DATE(2024,LEFT(A110,LEN(A110)-1),1), '销售数据明细'!$B:$B, "&lt;="&amp;EOMONTH(DATE(2024,LEFT(A110,LEN(A110)-1),1),0), '销售数据明细'!$C:$C, B110, '销售数据明细'!$D:$D, C110)</f>
      </c>
      <c r="F110" s="26">
        <f>SUMIFS('销售数据明细'!$J:$J, '销售数据明细'!$B:$B, "&gt;="&amp;DATE(2024,LEFT(A110,LEN(A110)-1),1), '销售数据明细'!$B:$B, "&lt;="&amp;EOMONTH(DATE(2024,LEFT(A110,LEN(A110)-1),1),0), '销售数据明细'!$C:$C, B110, '销售数据明细'!$D:$D, C110)</f>
      </c>
    </row>
    <row customHeight="true" ht="15" r="111">
      <c r="A111" s="21" t="s">
        <v>1145</v>
      </c>
      <c r="B111" s="21" t="s">
        <v>1146</v>
      </c>
      <c r="C111" s="21" t="s">
        <v>1147</v>
      </c>
      <c r="D111" s="22">
        <f>SUMIFS('销售数据明细'!$F:$F, '销售数据明细'!$B:$B, "&gt;="&amp;DATE(2024,LEFT(A111,LEN(A111)-1),1), '销售数据明细'!$B:$B, "&lt;="&amp;EOMONTH(DATE(2024,LEFT(A111,LEN(A111)-1),1),0), '销售数据明细'!$C:$C, B111, '销售数据明细'!$D:$D, C111)</f>
      </c>
      <c r="E111" s="23">
        <f>SUMIFS('销售数据明细'!$H:$H, '销售数据明细'!$B:$B, "&gt;="&amp;DATE(2024,LEFT(A111,LEN(A111)-1),1), '销售数据明细'!$B:$B, "&lt;="&amp;EOMONTH(DATE(2024,LEFT(A111,LEN(A111)-1),1),0), '销售数据明细'!$C:$C, B111, '销售数据明细'!$D:$D, C111)</f>
      </c>
      <c r="F111" s="23">
        <f>SUMIFS('销售数据明细'!$J:$J, '销售数据明细'!$B:$B, "&gt;="&amp;DATE(2024,LEFT(A111,LEN(A111)-1),1), '销售数据明细'!$B:$B, "&lt;="&amp;EOMONTH(DATE(2024,LEFT(A111,LEN(A111)-1),1),0), '销售数据明细'!$C:$C, B111, '销售数据明细'!$D:$D, C111)</f>
      </c>
    </row>
    <row customHeight="true" ht="15" r="112">
      <c r="A112" s="24" t="s">
        <v>1148</v>
      </c>
      <c r="B112" s="24" t="s">
        <v>1149</v>
      </c>
      <c r="C112" s="24" t="s">
        <v>1150</v>
      </c>
      <c r="D112" s="25">
        <f>SUMIFS('销售数据明细'!$F:$F, '销售数据明细'!$B:$B, "&gt;="&amp;DATE(2024,LEFT(A112,LEN(A112)-1),1), '销售数据明细'!$B:$B, "&lt;="&amp;EOMONTH(DATE(2024,LEFT(A112,LEN(A112)-1),1),0), '销售数据明细'!$C:$C, B112, '销售数据明细'!$D:$D, C112)</f>
      </c>
      <c r="E112" s="26">
        <f>SUMIFS('销售数据明细'!$H:$H, '销售数据明细'!$B:$B, "&gt;="&amp;DATE(2024,LEFT(A112,LEN(A112)-1),1), '销售数据明细'!$B:$B, "&lt;="&amp;EOMONTH(DATE(2024,LEFT(A112,LEN(A112)-1),1),0), '销售数据明细'!$C:$C, B112, '销售数据明细'!$D:$D, C112)</f>
      </c>
      <c r="F112" s="26">
        <f>SUMIFS('销售数据明细'!$J:$J, '销售数据明细'!$B:$B, "&gt;="&amp;DATE(2024,LEFT(A112,LEN(A112)-1),1), '销售数据明细'!$B:$B, "&lt;="&amp;EOMONTH(DATE(2024,LEFT(A112,LEN(A112)-1),1),0), '销售数据明细'!$C:$C, B112, '销售数据明细'!$D:$D, C112)</f>
      </c>
    </row>
    <row customHeight="true" ht="15" r="113">
      <c r="A113" s="21" t="s">
        <v>1151</v>
      </c>
      <c r="B113" s="21" t="s">
        <v>1152</v>
      </c>
      <c r="C113" s="21" t="s">
        <v>1153</v>
      </c>
      <c r="D113" s="22">
        <f>SUMIFS('销售数据明细'!$F:$F, '销售数据明细'!$B:$B, "&gt;="&amp;DATE(2024,LEFT(A113,LEN(A113)-1),1), '销售数据明细'!$B:$B, "&lt;="&amp;EOMONTH(DATE(2024,LEFT(A113,LEN(A113)-1),1),0), '销售数据明细'!$C:$C, B113, '销售数据明细'!$D:$D, C113)</f>
      </c>
      <c r="E113" s="23">
        <f>SUMIFS('销售数据明细'!$H:$H, '销售数据明细'!$B:$B, "&gt;="&amp;DATE(2024,LEFT(A113,LEN(A113)-1),1), '销售数据明细'!$B:$B, "&lt;="&amp;EOMONTH(DATE(2024,LEFT(A113,LEN(A113)-1),1),0), '销售数据明细'!$C:$C, B113, '销售数据明细'!$D:$D, C113)</f>
      </c>
      <c r="F113" s="23">
        <f>SUMIFS('销售数据明细'!$J:$J, '销售数据明细'!$B:$B, "&gt;="&amp;DATE(2024,LEFT(A113,LEN(A113)-1),1), '销售数据明细'!$B:$B, "&lt;="&amp;EOMONTH(DATE(2024,LEFT(A113,LEN(A113)-1),1),0), '销售数据明细'!$C:$C, B113, '销售数据明细'!$D:$D, C113)</f>
      </c>
    </row>
    <row customHeight="true" ht="15" r="114">
      <c r="A114" s="24" t="s">
        <v>1154</v>
      </c>
      <c r="B114" s="24" t="s">
        <v>1155</v>
      </c>
      <c r="C114" s="24" t="s">
        <v>1156</v>
      </c>
      <c r="D114" s="25">
        <f>SUMIFS('销售数据明细'!$F:$F, '销售数据明细'!$B:$B, "&gt;="&amp;DATE(2024,LEFT(A114,LEN(A114)-1),1), '销售数据明细'!$B:$B, "&lt;="&amp;EOMONTH(DATE(2024,LEFT(A114,LEN(A114)-1),1),0), '销售数据明细'!$C:$C, B114, '销售数据明细'!$D:$D, C114)</f>
      </c>
      <c r="E114" s="26">
        <f>SUMIFS('销售数据明细'!$H:$H, '销售数据明细'!$B:$B, "&gt;="&amp;DATE(2024,LEFT(A114,LEN(A114)-1),1), '销售数据明细'!$B:$B, "&lt;="&amp;EOMONTH(DATE(2024,LEFT(A114,LEN(A114)-1),1),0), '销售数据明细'!$C:$C, B114, '销售数据明细'!$D:$D, C114)</f>
      </c>
      <c r="F114" s="26">
        <f>SUMIFS('销售数据明细'!$J:$J, '销售数据明细'!$B:$B, "&gt;="&amp;DATE(2024,LEFT(A114,LEN(A114)-1),1), '销售数据明细'!$B:$B, "&lt;="&amp;EOMONTH(DATE(2024,LEFT(A114,LEN(A114)-1),1),0), '销售数据明细'!$C:$C, B114, '销售数据明细'!$D:$D, C114)</f>
      </c>
    </row>
    <row customHeight="true" ht="15" r="115">
      <c r="A115" s="21" t="s">
        <v>1157</v>
      </c>
      <c r="B115" s="21" t="s">
        <v>1158</v>
      </c>
      <c r="C115" s="21" t="s">
        <v>1159</v>
      </c>
      <c r="D115" s="22">
        <f>SUMIFS('销售数据明细'!$F:$F, '销售数据明细'!$B:$B, "&gt;="&amp;DATE(2024,LEFT(A115,LEN(A115)-1),1), '销售数据明细'!$B:$B, "&lt;="&amp;EOMONTH(DATE(2024,LEFT(A115,LEN(A115)-1),1),0), '销售数据明细'!$C:$C, B115, '销售数据明细'!$D:$D, C115)</f>
      </c>
      <c r="E115" s="23">
        <f>SUMIFS('销售数据明细'!$H:$H, '销售数据明细'!$B:$B, "&gt;="&amp;DATE(2024,LEFT(A115,LEN(A115)-1),1), '销售数据明细'!$B:$B, "&lt;="&amp;EOMONTH(DATE(2024,LEFT(A115,LEN(A115)-1),1),0), '销售数据明细'!$C:$C, B115, '销售数据明细'!$D:$D, C115)</f>
      </c>
      <c r="F115" s="23">
        <f>SUMIFS('销售数据明细'!$J:$J, '销售数据明细'!$B:$B, "&gt;="&amp;DATE(2024,LEFT(A115,LEN(A115)-1),1), '销售数据明细'!$B:$B, "&lt;="&amp;EOMONTH(DATE(2024,LEFT(A115,LEN(A115)-1),1),0), '销售数据明细'!$C:$C, B115, '销售数据明细'!$D:$D, C115)</f>
      </c>
    </row>
    <row customHeight="true" ht="15" r="116">
      <c r="A116" s="24" t="s">
        <v>1160</v>
      </c>
      <c r="B116" s="24" t="s">
        <v>1161</v>
      </c>
      <c r="C116" s="24" t="s">
        <v>1162</v>
      </c>
      <c r="D116" s="25">
        <f>SUMIFS('销售数据明细'!$F:$F, '销售数据明细'!$B:$B, "&gt;="&amp;DATE(2024,LEFT(A116,LEN(A116)-1),1), '销售数据明细'!$B:$B, "&lt;="&amp;EOMONTH(DATE(2024,LEFT(A116,LEN(A116)-1),1),0), '销售数据明细'!$C:$C, B116, '销售数据明细'!$D:$D, C116)</f>
      </c>
      <c r="E116" s="26">
        <f>SUMIFS('销售数据明细'!$H:$H, '销售数据明细'!$B:$B, "&gt;="&amp;DATE(2024,LEFT(A116,LEN(A116)-1),1), '销售数据明细'!$B:$B, "&lt;="&amp;EOMONTH(DATE(2024,LEFT(A116,LEN(A116)-1),1),0), '销售数据明细'!$C:$C, B116, '销售数据明细'!$D:$D, C116)</f>
      </c>
      <c r="F116" s="26">
        <f>SUMIFS('销售数据明细'!$J:$J, '销售数据明细'!$B:$B, "&gt;="&amp;DATE(2024,LEFT(A116,LEN(A116)-1),1), '销售数据明细'!$B:$B, "&lt;="&amp;EOMONTH(DATE(2024,LEFT(A116,LEN(A116)-1),1),0), '销售数据明细'!$C:$C, B116, '销售数据明细'!$D:$D, C116)</f>
      </c>
    </row>
    <row customHeight="true" ht="15" r="117">
      <c r="A117" s="21" t="s">
        <v>1163</v>
      </c>
      <c r="B117" s="21" t="s">
        <v>1164</v>
      </c>
      <c r="C117" s="21" t="s">
        <v>1165</v>
      </c>
      <c r="D117" s="22">
        <f>SUMIFS('销售数据明细'!$F:$F, '销售数据明细'!$B:$B, "&gt;="&amp;DATE(2024,LEFT(A117,LEN(A117)-1),1), '销售数据明细'!$B:$B, "&lt;="&amp;EOMONTH(DATE(2024,LEFT(A117,LEN(A117)-1),1),0), '销售数据明细'!$C:$C, B117, '销售数据明细'!$D:$D, C117)</f>
      </c>
      <c r="E117" s="23">
        <f>SUMIFS('销售数据明细'!$H:$H, '销售数据明细'!$B:$B, "&gt;="&amp;DATE(2024,LEFT(A117,LEN(A117)-1),1), '销售数据明细'!$B:$B, "&lt;="&amp;EOMONTH(DATE(2024,LEFT(A117,LEN(A117)-1),1),0), '销售数据明细'!$C:$C, B117, '销售数据明细'!$D:$D, C117)</f>
      </c>
      <c r="F117" s="23">
        <f>SUMIFS('销售数据明细'!$J:$J, '销售数据明细'!$B:$B, "&gt;="&amp;DATE(2024,LEFT(A117,LEN(A117)-1),1), '销售数据明细'!$B:$B, "&lt;="&amp;EOMONTH(DATE(2024,LEFT(A117,LEN(A117)-1),1),0), '销售数据明细'!$C:$C, B117, '销售数据明细'!$D:$D, C117)</f>
      </c>
    </row>
    <row customHeight="true" ht="15" r="118">
      <c r="A118" s="24" t="s">
        <v>1166</v>
      </c>
      <c r="B118" s="24" t="s">
        <v>1167</v>
      </c>
      <c r="C118" s="24" t="s">
        <v>1168</v>
      </c>
      <c r="D118" s="25">
        <f>SUMIFS('销售数据明细'!$F:$F, '销售数据明细'!$B:$B, "&gt;="&amp;DATE(2024,LEFT(A118,LEN(A118)-1),1), '销售数据明细'!$B:$B, "&lt;="&amp;EOMONTH(DATE(2024,LEFT(A118,LEN(A118)-1),1),0), '销售数据明细'!$C:$C, B118, '销售数据明细'!$D:$D, C118)</f>
      </c>
      <c r="E118" s="26">
        <f>SUMIFS('销售数据明细'!$H:$H, '销售数据明细'!$B:$B, "&gt;="&amp;DATE(2024,LEFT(A118,LEN(A118)-1),1), '销售数据明细'!$B:$B, "&lt;="&amp;EOMONTH(DATE(2024,LEFT(A118,LEN(A118)-1),1),0), '销售数据明细'!$C:$C, B118, '销售数据明细'!$D:$D, C118)</f>
      </c>
      <c r="F118" s="26">
        <f>SUMIFS('销售数据明细'!$J:$J, '销售数据明细'!$B:$B, "&gt;="&amp;DATE(2024,LEFT(A118,LEN(A118)-1),1), '销售数据明细'!$B:$B, "&lt;="&amp;EOMONTH(DATE(2024,LEFT(A118,LEN(A118)-1),1),0), '销售数据明细'!$C:$C, B118, '销售数据明细'!$D:$D, C118)</f>
      </c>
    </row>
    <row customHeight="true" ht="15" r="119">
      <c r="A119" s="21" t="s">
        <v>1169</v>
      </c>
      <c r="B119" s="21" t="s">
        <v>1170</v>
      </c>
      <c r="C119" s="21" t="s">
        <v>1171</v>
      </c>
      <c r="D119" s="22">
        <f>SUMIFS('销售数据明细'!$F:$F, '销售数据明细'!$B:$B, "&gt;="&amp;DATE(2024,LEFT(A119,LEN(A119)-1),1), '销售数据明细'!$B:$B, "&lt;="&amp;EOMONTH(DATE(2024,LEFT(A119,LEN(A119)-1),1),0), '销售数据明细'!$C:$C, B119, '销售数据明细'!$D:$D, C119)</f>
      </c>
      <c r="E119" s="23">
        <f>SUMIFS('销售数据明细'!$H:$H, '销售数据明细'!$B:$B, "&gt;="&amp;DATE(2024,LEFT(A119,LEN(A119)-1),1), '销售数据明细'!$B:$B, "&lt;="&amp;EOMONTH(DATE(2024,LEFT(A119,LEN(A119)-1),1),0), '销售数据明细'!$C:$C, B119, '销售数据明细'!$D:$D, C119)</f>
      </c>
      <c r="F119" s="23">
        <f>SUMIFS('销售数据明细'!$J:$J, '销售数据明细'!$B:$B, "&gt;="&amp;DATE(2024,LEFT(A119,LEN(A119)-1),1), '销售数据明细'!$B:$B, "&lt;="&amp;EOMONTH(DATE(2024,LEFT(A119,LEN(A119)-1),1),0), '销售数据明细'!$C:$C, B119, '销售数据明细'!$D:$D, C119)</f>
      </c>
    </row>
    <row customHeight="true" ht="15" r="120">
      <c r="A120" s="24" t="s">
        <v>1172</v>
      </c>
      <c r="B120" s="24" t="s">
        <v>1173</v>
      </c>
      <c r="C120" s="24" t="s">
        <v>1174</v>
      </c>
      <c r="D120" s="25">
        <f>SUMIFS('销售数据明细'!$F:$F, '销售数据明细'!$B:$B, "&gt;="&amp;DATE(2024,LEFT(A120,LEN(A120)-1),1), '销售数据明细'!$B:$B, "&lt;="&amp;EOMONTH(DATE(2024,LEFT(A120,LEN(A120)-1),1),0), '销售数据明细'!$C:$C, B120, '销售数据明细'!$D:$D, C120)</f>
      </c>
      <c r="E120" s="26">
        <f>SUMIFS('销售数据明细'!$H:$H, '销售数据明细'!$B:$B, "&gt;="&amp;DATE(2024,LEFT(A120,LEN(A120)-1),1), '销售数据明细'!$B:$B, "&lt;="&amp;EOMONTH(DATE(2024,LEFT(A120,LEN(A120)-1),1),0), '销售数据明细'!$C:$C, B120, '销售数据明细'!$D:$D, C120)</f>
      </c>
      <c r="F120" s="26">
        <f>SUMIFS('销售数据明细'!$J:$J, '销售数据明细'!$B:$B, "&gt;="&amp;DATE(2024,LEFT(A120,LEN(A120)-1),1), '销售数据明细'!$B:$B, "&lt;="&amp;EOMONTH(DATE(2024,LEFT(A120,LEN(A120)-1),1),0), '销售数据明细'!$C:$C, B120, '销售数据明细'!$D:$D, C120)</f>
      </c>
    </row>
    <row customHeight="true" ht="15" r="121">
      <c r="A121" s="21" t="s">
        <v>1175</v>
      </c>
      <c r="B121" s="21" t="s">
        <v>1176</v>
      </c>
      <c r="C121" s="21" t="s">
        <v>1177</v>
      </c>
      <c r="D121" s="22">
        <f>SUMIFS('销售数据明细'!$F:$F, '销售数据明细'!$B:$B, "&gt;="&amp;DATE(2024,LEFT(A121,LEN(A121)-1),1), '销售数据明细'!$B:$B, "&lt;="&amp;EOMONTH(DATE(2024,LEFT(A121,LEN(A121)-1),1),0), '销售数据明细'!$C:$C, B121, '销售数据明细'!$D:$D, C121)</f>
      </c>
      <c r="E121" s="23">
        <f>SUMIFS('销售数据明细'!$H:$H, '销售数据明细'!$B:$B, "&gt;="&amp;DATE(2024,LEFT(A121,LEN(A121)-1),1), '销售数据明细'!$B:$B, "&lt;="&amp;EOMONTH(DATE(2024,LEFT(A121,LEN(A121)-1),1),0), '销售数据明细'!$C:$C, B121, '销售数据明细'!$D:$D, C121)</f>
      </c>
      <c r="F121" s="23">
        <f>SUMIFS('销售数据明细'!$J:$J, '销售数据明细'!$B:$B, "&gt;="&amp;DATE(2024,LEFT(A121,LEN(A121)-1),1), '销售数据明细'!$B:$B, "&lt;="&amp;EOMONTH(DATE(2024,LEFT(A121,LEN(A121)-1),1),0), '销售数据明细'!$C:$C, B121, '销售数据明细'!$D:$D, C121)</f>
      </c>
    </row>
    <row customHeight="true" ht="15" r="122">
      <c r="A122" s="24" t="s">
        <v>1178</v>
      </c>
      <c r="B122" s="24" t="s">
        <v>1179</v>
      </c>
      <c r="C122" s="24" t="s">
        <v>1180</v>
      </c>
      <c r="D122" s="25">
        <f>SUMIFS('销售数据明细'!$F:$F, '销售数据明细'!$B:$B, "&gt;="&amp;DATE(2024,LEFT(A122,LEN(A122)-1),1), '销售数据明细'!$B:$B, "&lt;="&amp;EOMONTH(DATE(2024,LEFT(A122,LEN(A122)-1),1),0), '销售数据明细'!$C:$C, B122, '销售数据明细'!$D:$D, C122)</f>
      </c>
      <c r="E122" s="26">
        <f>SUMIFS('销售数据明细'!$H:$H, '销售数据明细'!$B:$B, "&gt;="&amp;DATE(2024,LEFT(A122,LEN(A122)-1),1), '销售数据明细'!$B:$B, "&lt;="&amp;EOMONTH(DATE(2024,LEFT(A122,LEN(A122)-1),1),0), '销售数据明细'!$C:$C, B122, '销售数据明细'!$D:$D, C122)</f>
      </c>
      <c r="F122" s="26">
        <f>SUMIFS('销售数据明细'!$J:$J, '销售数据明细'!$B:$B, "&gt;="&amp;DATE(2024,LEFT(A122,LEN(A122)-1),1), '销售数据明细'!$B:$B, "&lt;="&amp;EOMONTH(DATE(2024,LEFT(A122,LEN(A122)-1),1),0), '销售数据明细'!$C:$C, B122, '销售数据明细'!$D:$D, C122)</f>
      </c>
    </row>
    <row customHeight="true" ht="15" r="123">
      <c r="A123" s="21" t="s">
        <v>1181</v>
      </c>
      <c r="B123" s="21" t="s">
        <v>1182</v>
      </c>
      <c r="C123" s="21" t="s">
        <v>1183</v>
      </c>
      <c r="D123" s="22">
        <f>SUMIFS('销售数据明细'!$F:$F, '销售数据明细'!$B:$B, "&gt;="&amp;DATE(2024,LEFT(A123,LEN(A123)-1),1), '销售数据明细'!$B:$B, "&lt;="&amp;EOMONTH(DATE(2024,LEFT(A123,LEN(A123)-1),1),0), '销售数据明细'!$C:$C, B123, '销售数据明细'!$D:$D, C123)</f>
      </c>
      <c r="E123" s="23">
        <f>SUMIFS('销售数据明细'!$H:$H, '销售数据明细'!$B:$B, "&gt;="&amp;DATE(2024,LEFT(A123,LEN(A123)-1),1), '销售数据明细'!$B:$B, "&lt;="&amp;EOMONTH(DATE(2024,LEFT(A123,LEN(A123)-1),1),0), '销售数据明细'!$C:$C, B123, '销售数据明细'!$D:$D, C123)</f>
      </c>
      <c r="F123" s="23">
        <f>SUMIFS('销售数据明细'!$J:$J, '销售数据明细'!$B:$B, "&gt;="&amp;DATE(2024,LEFT(A123,LEN(A123)-1),1), '销售数据明细'!$B:$B, "&lt;="&amp;EOMONTH(DATE(2024,LEFT(A123,LEN(A123)-1),1),0), '销售数据明细'!$C:$C, B123, '销售数据明细'!$D:$D, C123)</f>
      </c>
    </row>
    <row customHeight="true" ht="15" r="124">
      <c r="A124" s="24" t="s">
        <v>1184</v>
      </c>
      <c r="B124" s="24" t="s">
        <v>1185</v>
      </c>
      <c r="C124" s="24" t="s">
        <v>1186</v>
      </c>
      <c r="D124" s="25">
        <f>SUMIFS('销售数据明细'!$F:$F, '销售数据明细'!$B:$B, "&gt;="&amp;DATE(2024,LEFT(A124,LEN(A124)-1),1), '销售数据明细'!$B:$B, "&lt;="&amp;EOMONTH(DATE(2024,LEFT(A124,LEN(A124)-1),1),0), '销售数据明细'!$C:$C, B124, '销售数据明细'!$D:$D, C124)</f>
      </c>
      <c r="E124" s="26">
        <f>SUMIFS('销售数据明细'!$H:$H, '销售数据明细'!$B:$B, "&gt;="&amp;DATE(2024,LEFT(A124,LEN(A124)-1),1), '销售数据明细'!$B:$B, "&lt;="&amp;EOMONTH(DATE(2024,LEFT(A124,LEN(A124)-1),1),0), '销售数据明细'!$C:$C, B124, '销售数据明细'!$D:$D, C124)</f>
      </c>
      <c r="F124" s="26">
        <f>SUMIFS('销售数据明细'!$J:$J, '销售数据明细'!$B:$B, "&gt;="&amp;DATE(2024,LEFT(A124,LEN(A124)-1),1), '销售数据明细'!$B:$B, "&lt;="&amp;EOMONTH(DATE(2024,LEFT(A124,LEN(A124)-1),1),0), '销售数据明细'!$C:$C, B124, '销售数据明细'!$D:$D, C124)</f>
      </c>
    </row>
    <row customHeight="true" ht="15" r="125">
      <c r="A125" s="21" t="s">
        <v>1187</v>
      </c>
      <c r="B125" s="21" t="s">
        <v>1188</v>
      </c>
      <c r="C125" s="21" t="s">
        <v>1189</v>
      </c>
      <c r="D125" s="22">
        <f>SUMIFS('销售数据明细'!$F:$F, '销售数据明细'!$B:$B, "&gt;="&amp;DATE(2024,LEFT(A125,LEN(A125)-1),1), '销售数据明细'!$B:$B, "&lt;="&amp;EOMONTH(DATE(2024,LEFT(A125,LEN(A125)-1),1),0), '销售数据明细'!$C:$C, B125, '销售数据明细'!$D:$D, C125)</f>
      </c>
      <c r="E125" s="23">
        <f>SUMIFS('销售数据明细'!$H:$H, '销售数据明细'!$B:$B, "&gt;="&amp;DATE(2024,LEFT(A125,LEN(A125)-1),1), '销售数据明细'!$B:$B, "&lt;="&amp;EOMONTH(DATE(2024,LEFT(A125,LEN(A125)-1),1),0), '销售数据明细'!$C:$C, B125, '销售数据明细'!$D:$D, C125)</f>
      </c>
      <c r="F125" s="23">
        <f>SUMIFS('销售数据明细'!$J:$J, '销售数据明细'!$B:$B, "&gt;="&amp;DATE(2024,LEFT(A125,LEN(A125)-1),1), '销售数据明细'!$B:$B, "&lt;="&amp;EOMONTH(DATE(2024,LEFT(A125,LEN(A125)-1),1),0), '销售数据明细'!$C:$C, B125, '销售数据明细'!$D:$D, C125)</f>
      </c>
    </row>
    <row customHeight="true" ht="15" r="126">
      <c r="A126" s="24" t="s">
        <v>1190</v>
      </c>
      <c r="B126" s="24" t="s">
        <v>1191</v>
      </c>
      <c r="C126" s="24" t="s">
        <v>1192</v>
      </c>
      <c r="D126" s="25">
        <f>SUMIFS('销售数据明细'!$F:$F, '销售数据明细'!$B:$B, "&gt;="&amp;DATE(2024,LEFT(A126,LEN(A126)-1),1), '销售数据明细'!$B:$B, "&lt;="&amp;EOMONTH(DATE(2024,LEFT(A126,LEN(A126)-1),1),0), '销售数据明细'!$C:$C, B126, '销售数据明细'!$D:$D, C126)</f>
      </c>
      <c r="E126" s="26">
        <f>SUMIFS('销售数据明细'!$H:$H, '销售数据明细'!$B:$B, "&gt;="&amp;DATE(2024,LEFT(A126,LEN(A126)-1),1), '销售数据明细'!$B:$B, "&lt;="&amp;EOMONTH(DATE(2024,LEFT(A126,LEN(A126)-1),1),0), '销售数据明细'!$C:$C, B126, '销售数据明细'!$D:$D, C126)</f>
      </c>
      <c r="F126" s="26">
        <f>SUMIFS('销售数据明细'!$J:$J, '销售数据明细'!$B:$B, "&gt;="&amp;DATE(2024,LEFT(A126,LEN(A126)-1),1), '销售数据明细'!$B:$B, "&lt;="&amp;EOMONTH(DATE(2024,LEFT(A126,LEN(A126)-1),1),0), '销售数据明细'!$C:$C, B126, '销售数据明细'!$D:$D, C126)</f>
      </c>
    </row>
    <row customHeight="true" ht="15" r="127">
      <c r="A127" s="21" t="s">
        <v>1193</v>
      </c>
      <c r="B127" s="21" t="s">
        <v>1194</v>
      </c>
      <c r="C127" s="21" t="s">
        <v>1195</v>
      </c>
      <c r="D127" s="22">
        <f>SUMIFS('销售数据明细'!$F:$F, '销售数据明细'!$B:$B, "&gt;="&amp;DATE(2024,LEFT(A127,LEN(A127)-1),1), '销售数据明细'!$B:$B, "&lt;="&amp;EOMONTH(DATE(2024,LEFT(A127,LEN(A127)-1),1),0), '销售数据明细'!$C:$C, B127, '销售数据明细'!$D:$D, C127)</f>
      </c>
      <c r="E127" s="23">
        <f>SUMIFS('销售数据明细'!$H:$H, '销售数据明细'!$B:$B, "&gt;="&amp;DATE(2024,LEFT(A127,LEN(A127)-1),1), '销售数据明细'!$B:$B, "&lt;="&amp;EOMONTH(DATE(2024,LEFT(A127,LEN(A127)-1),1),0), '销售数据明细'!$C:$C, B127, '销售数据明细'!$D:$D, C127)</f>
      </c>
      <c r="F127" s="23">
        <f>SUMIFS('销售数据明细'!$J:$J, '销售数据明细'!$B:$B, "&gt;="&amp;DATE(2024,LEFT(A127,LEN(A127)-1),1), '销售数据明细'!$B:$B, "&lt;="&amp;EOMONTH(DATE(2024,LEFT(A127,LEN(A127)-1),1),0), '销售数据明细'!$C:$C, B127, '销售数据明细'!$D:$D, C127)</f>
      </c>
    </row>
    <row customHeight="true" ht="15" r="128">
      <c r="A128" s="24" t="s">
        <v>1196</v>
      </c>
      <c r="B128" s="24" t="s">
        <v>1197</v>
      </c>
      <c r="C128" s="24" t="s">
        <v>1198</v>
      </c>
      <c r="D128" s="25">
        <f>SUMIFS('销售数据明细'!$F:$F, '销售数据明细'!$B:$B, "&gt;="&amp;DATE(2024,LEFT(A128,LEN(A128)-1),1), '销售数据明细'!$B:$B, "&lt;="&amp;EOMONTH(DATE(2024,LEFT(A128,LEN(A128)-1),1),0), '销售数据明细'!$C:$C, B128, '销售数据明细'!$D:$D, C128)</f>
      </c>
      <c r="E128" s="26">
        <f>SUMIFS('销售数据明细'!$H:$H, '销售数据明细'!$B:$B, "&gt;="&amp;DATE(2024,LEFT(A128,LEN(A128)-1),1), '销售数据明细'!$B:$B, "&lt;="&amp;EOMONTH(DATE(2024,LEFT(A128,LEN(A128)-1),1),0), '销售数据明细'!$C:$C, B128, '销售数据明细'!$D:$D, C128)</f>
      </c>
      <c r="F128" s="26">
        <f>SUMIFS('销售数据明细'!$J:$J, '销售数据明细'!$B:$B, "&gt;="&amp;DATE(2024,LEFT(A128,LEN(A128)-1),1), '销售数据明细'!$B:$B, "&lt;="&amp;EOMONTH(DATE(2024,LEFT(A128,LEN(A128)-1),1),0), '销售数据明细'!$C:$C, B128, '销售数据明细'!$D:$D, C128)</f>
      </c>
    </row>
    <row customHeight="true" ht="15" r="129">
      <c r="A129" s="21" t="s">
        <v>1199</v>
      </c>
      <c r="B129" s="21" t="s">
        <v>1200</v>
      </c>
      <c r="C129" s="21" t="s">
        <v>1201</v>
      </c>
      <c r="D129" s="22">
        <f>SUMIFS('销售数据明细'!$F:$F, '销售数据明细'!$B:$B, "&gt;="&amp;DATE(2024,LEFT(A129,LEN(A129)-1),1), '销售数据明细'!$B:$B, "&lt;="&amp;EOMONTH(DATE(2024,LEFT(A129,LEN(A129)-1),1),0), '销售数据明细'!$C:$C, B129, '销售数据明细'!$D:$D, C129)</f>
      </c>
      <c r="E129" s="23">
        <f>SUMIFS('销售数据明细'!$H:$H, '销售数据明细'!$B:$B, "&gt;="&amp;DATE(2024,LEFT(A129,LEN(A129)-1),1), '销售数据明细'!$B:$B, "&lt;="&amp;EOMONTH(DATE(2024,LEFT(A129,LEN(A129)-1),1),0), '销售数据明细'!$C:$C, B129, '销售数据明细'!$D:$D, C129)</f>
      </c>
      <c r="F129" s="23">
        <f>SUMIFS('销售数据明细'!$J:$J, '销售数据明细'!$B:$B, "&gt;="&amp;DATE(2024,LEFT(A129,LEN(A129)-1),1), '销售数据明细'!$B:$B, "&lt;="&amp;EOMONTH(DATE(2024,LEFT(A129,LEN(A129)-1),1),0), '销售数据明细'!$C:$C, B129, '销售数据明细'!$D:$D, C129)</f>
      </c>
    </row>
    <row customHeight="true" ht="15" r="130">
      <c r="A130" s="24" t="s">
        <v>1202</v>
      </c>
      <c r="B130" s="24" t="s">
        <v>1203</v>
      </c>
      <c r="C130" s="24" t="s">
        <v>1204</v>
      </c>
      <c r="D130" s="25">
        <f>SUMIFS('销售数据明细'!$F:$F, '销售数据明细'!$B:$B, "&gt;="&amp;DATE(2024,LEFT(A130,LEN(A130)-1),1), '销售数据明细'!$B:$B, "&lt;="&amp;EOMONTH(DATE(2024,LEFT(A130,LEN(A130)-1),1),0), '销售数据明细'!$C:$C, B130, '销售数据明细'!$D:$D, C130)</f>
      </c>
      <c r="E130" s="26">
        <f>SUMIFS('销售数据明细'!$H:$H, '销售数据明细'!$B:$B, "&gt;="&amp;DATE(2024,LEFT(A130,LEN(A130)-1),1), '销售数据明细'!$B:$B, "&lt;="&amp;EOMONTH(DATE(2024,LEFT(A130,LEN(A130)-1),1),0), '销售数据明细'!$C:$C, B130, '销售数据明细'!$D:$D, C130)</f>
      </c>
      <c r="F130" s="26">
        <f>SUMIFS('销售数据明细'!$J:$J, '销售数据明细'!$B:$B, "&gt;="&amp;DATE(2024,LEFT(A130,LEN(A130)-1),1), '销售数据明细'!$B:$B, "&lt;="&amp;EOMONTH(DATE(2024,LEFT(A130,LEN(A130)-1),1),0), '销售数据明细'!$C:$C, B130, '销售数据明细'!$D:$D, C130)</f>
      </c>
    </row>
    <row customHeight="true" ht="15" r="131">
      <c r="A131" s="21" t="s">
        <v>1205</v>
      </c>
      <c r="B131" s="21" t="s">
        <v>1206</v>
      </c>
      <c r="C131" s="21" t="s">
        <v>1207</v>
      </c>
      <c r="D131" s="22">
        <f>SUMIFS('销售数据明细'!$F:$F, '销售数据明细'!$B:$B, "&gt;="&amp;DATE(2024,LEFT(A131,LEN(A131)-1),1), '销售数据明细'!$B:$B, "&lt;="&amp;EOMONTH(DATE(2024,LEFT(A131,LEN(A131)-1),1),0), '销售数据明细'!$C:$C, B131, '销售数据明细'!$D:$D, C131)</f>
      </c>
      <c r="E131" s="23">
        <f>SUMIFS('销售数据明细'!$H:$H, '销售数据明细'!$B:$B, "&gt;="&amp;DATE(2024,LEFT(A131,LEN(A131)-1),1), '销售数据明细'!$B:$B, "&lt;="&amp;EOMONTH(DATE(2024,LEFT(A131,LEN(A131)-1),1),0), '销售数据明细'!$C:$C, B131, '销售数据明细'!$D:$D, C131)</f>
      </c>
      <c r="F131" s="23">
        <f>SUMIFS('销售数据明细'!$J:$J, '销售数据明细'!$B:$B, "&gt;="&amp;DATE(2024,LEFT(A131,LEN(A131)-1),1), '销售数据明细'!$B:$B, "&lt;="&amp;EOMONTH(DATE(2024,LEFT(A131,LEN(A131)-1),1),0), '销售数据明细'!$C:$C, B131, '销售数据明细'!$D:$D, C131)</f>
      </c>
    </row>
    <row customHeight="true" ht="15" r="132">
      <c r="A132" s="24" t="s">
        <v>1208</v>
      </c>
      <c r="B132" s="24" t="s">
        <v>1209</v>
      </c>
      <c r="C132" s="24" t="s">
        <v>1210</v>
      </c>
      <c r="D132" s="25">
        <f>SUMIFS('销售数据明细'!$F:$F, '销售数据明细'!$B:$B, "&gt;="&amp;DATE(2024,LEFT(A132,LEN(A132)-1),1), '销售数据明细'!$B:$B, "&lt;="&amp;EOMONTH(DATE(2024,LEFT(A132,LEN(A132)-1),1),0), '销售数据明细'!$C:$C, B132, '销售数据明细'!$D:$D, C132)</f>
      </c>
      <c r="E132" s="26">
        <f>SUMIFS('销售数据明细'!$H:$H, '销售数据明细'!$B:$B, "&gt;="&amp;DATE(2024,LEFT(A132,LEN(A132)-1),1), '销售数据明细'!$B:$B, "&lt;="&amp;EOMONTH(DATE(2024,LEFT(A132,LEN(A132)-1),1),0), '销售数据明细'!$C:$C, B132, '销售数据明细'!$D:$D, C132)</f>
      </c>
      <c r="F132" s="26">
        <f>SUMIFS('销售数据明细'!$J:$J, '销售数据明细'!$B:$B, "&gt;="&amp;DATE(2024,LEFT(A132,LEN(A132)-1),1), '销售数据明细'!$B:$B, "&lt;="&amp;EOMONTH(DATE(2024,LEFT(A132,LEN(A132)-1),1),0), '销售数据明细'!$C:$C, B132, '销售数据明细'!$D:$D, C132)</f>
      </c>
    </row>
    <row customHeight="true" ht="15" r="133">
      <c r="A133" s="21" t="s">
        <v>1211</v>
      </c>
      <c r="B133" s="21" t="s">
        <v>1212</v>
      </c>
      <c r="C133" s="21" t="s">
        <v>1213</v>
      </c>
      <c r="D133" s="22">
        <f>SUMIFS('销售数据明细'!$F:$F, '销售数据明细'!$B:$B, "&gt;="&amp;DATE(2024,LEFT(A133,LEN(A133)-1),1), '销售数据明细'!$B:$B, "&lt;="&amp;EOMONTH(DATE(2024,LEFT(A133,LEN(A133)-1),1),0), '销售数据明细'!$C:$C, B133, '销售数据明细'!$D:$D, C133)</f>
      </c>
      <c r="E133" s="23">
        <f>SUMIFS('销售数据明细'!$H:$H, '销售数据明细'!$B:$B, "&gt;="&amp;DATE(2024,LEFT(A133,LEN(A133)-1),1), '销售数据明细'!$B:$B, "&lt;="&amp;EOMONTH(DATE(2024,LEFT(A133,LEN(A133)-1),1),0), '销售数据明细'!$C:$C, B133, '销售数据明细'!$D:$D, C133)</f>
      </c>
      <c r="F133" s="23">
        <f>SUMIFS('销售数据明细'!$J:$J, '销售数据明细'!$B:$B, "&gt;="&amp;DATE(2024,LEFT(A133,LEN(A133)-1),1), '销售数据明细'!$B:$B, "&lt;="&amp;EOMONTH(DATE(2024,LEFT(A133,LEN(A133)-1),1),0), '销售数据明细'!$C:$C, B133, '销售数据明细'!$D:$D, C133)</f>
      </c>
    </row>
    <row customHeight="true" ht="15" r="134">
      <c r="A134" s="24" t="s">
        <v>1214</v>
      </c>
      <c r="B134" s="24" t="s">
        <v>1215</v>
      </c>
      <c r="C134" s="24" t="s">
        <v>1216</v>
      </c>
      <c r="D134" s="25">
        <f>SUMIFS('销售数据明细'!$F:$F, '销售数据明细'!$B:$B, "&gt;="&amp;DATE(2024,LEFT(A134,LEN(A134)-1),1), '销售数据明细'!$B:$B, "&lt;="&amp;EOMONTH(DATE(2024,LEFT(A134,LEN(A134)-1),1),0), '销售数据明细'!$C:$C, B134, '销售数据明细'!$D:$D, C134)</f>
      </c>
      <c r="E134" s="26">
        <f>SUMIFS('销售数据明细'!$H:$H, '销售数据明细'!$B:$B, "&gt;="&amp;DATE(2024,LEFT(A134,LEN(A134)-1),1), '销售数据明细'!$B:$B, "&lt;="&amp;EOMONTH(DATE(2024,LEFT(A134,LEN(A134)-1),1),0), '销售数据明细'!$C:$C, B134, '销售数据明细'!$D:$D, C134)</f>
      </c>
      <c r="F134" s="26">
        <f>SUMIFS('销售数据明细'!$J:$J, '销售数据明细'!$B:$B, "&gt;="&amp;DATE(2024,LEFT(A134,LEN(A134)-1),1), '销售数据明细'!$B:$B, "&lt;="&amp;EOMONTH(DATE(2024,LEFT(A134,LEN(A134)-1),1),0), '销售数据明细'!$C:$C, B134, '销售数据明细'!$D:$D, C134)</f>
      </c>
    </row>
    <row customHeight="true" ht="15" r="135">
      <c r="A135" s="21" t="s">
        <v>1217</v>
      </c>
      <c r="B135" s="21" t="s">
        <v>1218</v>
      </c>
      <c r="C135" s="21" t="s">
        <v>1219</v>
      </c>
      <c r="D135" s="22">
        <f>SUMIFS('销售数据明细'!$F:$F, '销售数据明细'!$B:$B, "&gt;="&amp;DATE(2024,LEFT(A135,LEN(A135)-1),1), '销售数据明细'!$B:$B, "&lt;="&amp;EOMONTH(DATE(2024,LEFT(A135,LEN(A135)-1),1),0), '销售数据明细'!$C:$C, B135, '销售数据明细'!$D:$D, C135)</f>
      </c>
      <c r="E135" s="23">
        <f>SUMIFS('销售数据明细'!$H:$H, '销售数据明细'!$B:$B, "&gt;="&amp;DATE(2024,LEFT(A135,LEN(A135)-1),1), '销售数据明细'!$B:$B, "&lt;="&amp;EOMONTH(DATE(2024,LEFT(A135,LEN(A135)-1),1),0), '销售数据明细'!$C:$C, B135, '销售数据明细'!$D:$D, C135)</f>
      </c>
      <c r="F135" s="23">
        <f>SUMIFS('销售数据明细'!$J:$J, '销售数据明细'!$B:$B, "&gt;="&amp;DATE(2024,LEFT(A135,LEN(A135)-1),1), '销售数据明细'!$B:$B, "&lt;="&amp;EOMONTH(DATE(2024,LEFT(A135,LEN(A135)-1),1),0), '销售数据明细'!$C:$C, B135, '销售数据明细'!$D:$D, C135)</f>
      </c>
    </row>
    <row customHeight="true" ht="15" r="136">
      <c r="A136" s="24" t="s">
        <v>1220</v>
      </c>
      <c r="B136" s="24" t="s">
        <v>1221</v>
      </c>
      <c r="C136" s="24" t="s">
        <v>1222</v>
      </c>
      <c r="D136" s="25">
        <f>SUMIFS('销售数据明细'!$F:$F, '销售数据明细'!$B:$B, "&gt;="&amp;DATE(2024,LEFT(A136,LEN(A136)-1),1), '销售数据明细'!$B:$B, "&lt;="&amp;EOMONTH(DATE(2024,LEFT(A136,LEN(A136)-1),1),0), '销售数据明细'!$C:$C, B136, '销售数据明细'!$D:$D, C136)</f>
      </c>
      <c r="E136" s="26">
        <f>SUMIFS('销售数据明细'!$H:$H, '销售数据明细'!$B:$B, "&gt;="&amp;DATE(2024,LEFT(A136,LEN(A136)-1),1), '销售数据明细'!$B:$B, "&lt;="&amp;EOMONTH(DATE(2024,LEFT(A136,LEN(A136)-1),1),0), '销售数据明细'!$C:$C, B136, '销售数据明细'!$D:$D, C136)</f>
      </c>
      <c r="F136" s="26">
        <f>SUMIFS('销售数据明细'!$J:$J, '销售数据明细'!$B:$B, "&gt;="&amp;DATE(2024,LEFT(A136,LEN(A136)-1),1), '销售数据明细'!$B:$B, "&lt;="&amp;EOMONTH(DATE(2024,LEFT(A136,LEN(A136)-1),1),0), '销售数据明细'!$C:$C, B136, '销售数据明细'!$D:$D, C136)</f>
      </c>
    </row>
    <row customHeight="true" ht="15" r="137">
      <c r="A137" s="21" t="s">
        <v>1223</v>
      </c>
      <c r="B137" s="21" t="s">
        <v>1224</v>
      </c>
      <c r="C137" s="21" t="s">
        <v>1225</v>
      </c>
      <c r="D137" s="22">
        <f>SUMIFS('销售数据明细'!$F:$F, '销售数据明细'!$B:$B, "&gt;="&amp;DATE(2024,LEFT(A137,LEN(A137)-1),1), '销售数据明细'!$B:$B, "&lt;="&amp;EOMONTH(DATE(2024,LEFT(A137,LEN(A137)-1),1),0), '销售数据明细'!$C:$C, B137, '销售数据明细'!$D:$D, C137)</f>
      </c>
      <c r="E137" s="23">
        <f>SUMIFS('销售数据明细'!$H:$H, '销售数据明细'!$B:$B, "&gt;="&amp;DATE(2024,LEFT(A137,LEN(A137)-1),1), '销售数据明细'!$B:$B, "&lt;="&amp;EOMONTH(DATE(2024,LEFT(A137,LEN(A137)-1),1),0), '销售数据明细'!$C:$C, B137, '销售数据明细'!$D:$D, C137)</f>
      </c>
      <c r="F137" s="23">
        <f>SUMIFS('销售数据明细'!$J:$J, '销售数据明细'!$B:$B, "&gt;="&amp;DATE(2024,LEFT(A137,LEN(A137)-1),1), '销售数据明细'!$B:$B, "&lt;="&amp;EOMONTH(DATE(2024,LEFT(A137,LEN(A137)-1),1),0), '销售数据明细'!$C:$C, B137, '销售数据明细'!$D:$D, C137)</f>
      </c>
    </row>
    <row customHeight="true" ht="15" r="138">
      <c r="A138" s="24" t="s">
        <v>1226</v>
      </c>
      <c r="B138" s="24" t="s">
        <v>1227</v>
      </c>
      <c r="C138" s="24" t="s">
        <v>1228</v>
      </c>
      <c r="D138" s="25">
        <f>SUMIFS('销售数据明细'!$F:$F, '销售数据明细'!$B:$B, "&gt;="&amp;DATE(2024,LEFT(A138,LEN(A138)-1),1), '销售数据明细'!$B:$B, "&lt;="&amp;EOMONTH(DATE(2024,LEFT(A138,LEN(A138)-1),1),0), '销售数据明细'!$C:$C, B138, '销售数据明细'!$D:$D, C138)</f>
      </c>
      <c r="E138" s="26">
        <f>SUMIFS('销售数据明细'!$H:$H, '销售数据明细'!$B:$B, "&gt;="&amp;DATE(2024,LEFT(A138,LEN(A138)-1),1), '销售数据明细'!$B:$B, "&lt;="&amp;EOMONTH(DATE(2024,LEFT(A138,LEN(A138)-1),1),0), '销售数据明细'!$C:$C, B138, '销售数据明细'!$D:$D, C138)</f>
      </c>
      <c r="F138" s="26">
        <f>SUMIFS('销售数据明细'!$J:$J, '销售数据明细'!$B:$B, "&gt;="&amp;DATE(2024,LEFT(A138,LEN(A138)-1),1), '销售数据明细'!$B:$B, "&lt;="&amp;EOMONTH(DATE(2024,LEFT(A138,LEN(A138)-1),1),0), '销售数据明细'!$C:$C, B138, '销售数据明细'!$D:$D, C138)</f>
      </c>
    </row>
    <row customHeight="true" ht="15" r="139">
      <c r="A139" s="21" t="s">
        <v>1229</v>
      </c>
      <c r="B139" s="21" t="s">
        <v>1230</v>
      </c>
      <c r="C139" s="21" t="s">
        <v>1231</v>
      </c>
      <c r="D139" s="22">
        <f>SUMIFS('销售数据明细'!$F:$F, '销售数据明细'!$B:$B, "&gt;="&amp;DATE(2024,LEFT(A139,LEN(A139)-1),1), '销售数据明细'!$B:$B, "&lt;="&amp;EOMONTH(DATE(2024,LEFT(A139,LEN(A139)-1),1),0), '销售数据明细'!$C:$C, B139, '销售数据明细'!$D:$D, C139)</f>
      </c>
      <c r="E139" s="23">
        <f>SUMIFS('销售数据明细'!$H:$H, '销售数据明细'!$B:$B, "&gt;="&amp;DATE(2024,LEFT(A139,LEN(A139)-1),1), '销售数据明细'!$B:$B, "&lt;="&amp;EOMONTH(DATE(2024,LEFT(A139,LEN(A139)-1),1),0), '销售数据明细'!$C:$C, B139, '销售数据明细'!$D:$D, C139)</f>
      </c>
      <c r="F139" s="23">
        <f>SUMIFS('销售数据明细'!$J:$J, '销售数据明细'!$B:$B, "&gt;="&amp;DATE(2024,LEFT(A139,LEN(A139)-1),1), '销售数据明细'!$B:$B, "&lt;="&amp;EOMONTH(DATE(2024,LEFT(A139,LEN(A139)-1),1),0), '销售数据明细'!$C:$C, B139, '销售数据明细'!$D:$D, C139)</f>
      </c>
    </row>
    <row customHeight="true" ht="15" r="140">
      <c r="A140" s="24" t="s">
        <v>1232</v>
      </c>
      <c r="B140" s="24" t="s">
        <v>1233</v>
      </c>
      <c r="C140" s="24" t="s">
        <v>1234</v>
      </c>
      <c r="D140" s="25">
        <f>SUMIFS('销售数据明细'!$F:$F, '销售数据明细'!$B:$B, "&gt;="&amp;DATE(2024,LEFT(A140,LEN(A140)-1),1), '销售数据明细'!$B:$B, "&lt;="&amp;EOMONTH(DATE(2024,LEFT(A140,LEN(A140)-1),1),0), '销售数据明细'!$C:$C, B140, '销售数据明细'!$D:$D, C140)</f>
      </c>
      <c r="E140" s="26">
        <f>SUMIFS('销售数据明细'!$H:$H, '销售数据明细'!$B:$B, "&gt;="&amp;DATE(2024,LEFT(A140,LEN(A140)-1),1), '销售数据明细'!$B:$B, "&lt;="&amp;EOMONTH(DATE(2024,LEFT(A140,LEN(A140)-1),1),0), '销售数据明细'!$C:$C, B140, '销售数据明细'!$D:$D, C140)</f>
      </c>
      <c r="F140" s="26">
        <f>SUMIFS('销售数据明细'!$J:$J, '销售数据明细'!$B:$B, "&gt;="&amp;DATE(2024,LEFT(A140,LEN(A140)-1),1), '销售数据明细'!$B:$B, "&lt;="&amp;EOMONTH(DATE(2024,LEFT(A140,LEN(A140)-1),1),0), '销售数据明细'!$C:$C, B140, '销售数据明细'!$D:$D, C140)</f>
      </c>
    </row>
    <row customHeight="true" ht="15" r="141">
      <c r="A141" s="21" t="s">
        <v>1235</v>
      </c>
      <c r="B141" s="21" t="s">
        <v>1236</v>
      </c>
      <c r="C141" s="21" t="s">
        <v>1237</v>
      </c>
      <c r="D141" s="22">
        <f>SUMIFS('销售数据明细'!$F:$F, '销售数据明细'!$B:$B, "&gt;="&amp;DATE(2024,LEFT(A141,LEN(A141)-1),1), '销售数据明细'!$B:$B, "&lt;="&amp;EOMONTH(DATE(2024,LEFT(A141,LEN(A141)-1),1),0), '销售数据明细'!$C:$C, B141, '销售数据明细'!$D:$D, C141)</f>
      </c>
      <c r="E141" s="23">
        <f>SUMIFS('销售数据明细'!$H:$H, '销售数据明细'!$B:$B, "&gt;="&amp;DATE(2024,LEFT(A141,LEN(A141)-1),1), '销售数据明细'!$B:$B, "&lt;="&amp;EOMONTH(DATE(2024,LEFT(A141,LEN(A141)-1),1),0), '销售数据明细'!$C:$C, B141, '销售数据明细'!$D:$D, C141)</f>
      </c>
      <c r="F141" s="23">
        <f>SUMIFS('销售数据明细'!$J:$J, '销售数据明细'!$B:$B, "&gt;="&amp;DATE(2024,LEFT(A141,LEN(A141)-1),1), '销售数据明细'!$B:$B, "&lt;="&amp;EOMONTH(DATE(2024,LEFT(A141,LEN(A141)-1),1),0), '销售数据明细'!$C:$C, B141, '销售数据明细'!$D:$D, C141)</f>
      </c>
    </row>
    <row customHeight="true" ht="15" r="142">
      <c r="A142" s="24" t="s">
        <v>1238</v>
      </c>
      <c r="B142" s="24" t="s">
        <v>1239</v>
      </c>
      <c r="C142" s="24" t="s">
        <v>1240</v>
      </c>
      <c r="D142" s="25">
        <f>SUMIFS('销售数据明细'!$F:$F, '销售数据明细'!$B:$B, "&gt;="&amp;DATE(2024,LEFT(A142,LEN(A142)-1),1), '销售数据明细'!$B:$B, "&lt;="&amp;EOMONTH(DATE(2024,LEFT(A142,LEN(A142)-1),1),0), '销售数据明细'!$C:$C, B142, '销售数据明细'!$D:$D, C142)</f>
      </c>
      <c r="E142" s="26">
        <f>SUMIFS('销售数据明细'!$H:$H, '销售数据明细'!$B:$B, "&gt;="&amp;DATE(2024,LEFT(A142,LEN(A142)-1),1), '销售数据明细'!$B:$B, "&lt;="&amp;EOMONTH(DATE(2024,LEFT(A142,LEN(A142)-1),1),0), '销售数据明细'!$C:$C, B142, '销售数据明细'!$D:$D, C142)</f>
      </c>
      <c r="F142" s="26">
        <f>SUMIFS('销售数据明细'!$J:$J, '销售数据明细'!$B:$B, "&gt;="&amp;DATE(2024,LEFT(A142,LEN(A142)-1),1), '销售数据明细'!$B:$B, "&lt;="&amp;EOMONTH(DATE(2024,LEFT(A142,LEN(A142)-1),1),0), '销售数据明细'!$C:$C, B142, '销售数据明细'!$D:$D, C142)</f>
      </c>
    </row>
    <row customHeight="true" ht="15" r="143">
      <c r="A143" s="21" t="s">
        <v>1241</v>
      </c>
      <c r="B143" s="21" t="s">
        <v>1242</v>
      </c>
      <c r="C143" s="21" t="s">
        <v>1243</v>
      </c>
      <c r="D143" s="22">
        <f>SUMIFS('销售数据明细'!$F:$F, '销售数据明细'!$B:$B, "&gt;="&amp;DATE(2024,LEFT(A143,LEN(A143)-1),1), '销售数据明细'!$B:$B, "&lt;="&amp;EOMONTH(DATE(2024,LEFT(A143,LEN(A143)-1),1),0), '销售数据明细'!$C:$C, B143, '销售数据明细'!$D:$D, C143)</f>
      </c>
      <c r="E143" s="23">
        <f>SUMIFS('销售数据明细'!$H:$H, '销售数据明细'!$B:$B, "&gt;="&amp;DATE(2024,LEFT(A143,LEN(A143)-1),1), '销售数据明细'!$B:$B, "&lt;="&amp;EOMONTH(DATE(2024,LEFT(A143,LEN(A143)-1),1),0), '销售数据明细'!$C:$C, B143, '销售数据明细'!$D:$D, C143)</f>
      </c>
      <c r="F143" s="23">
        <f>SUMIFS('销售数据明细'!$J:$J, '销售数据明细'!$B:$B, "&gt;="&amp;DATE(2024,LEFT(A143,LEN(A143)-1),1), '销售数据明细'!$B:$B, "&lt;="&amp;EOMONTH(DATE(2024,LEFT(A143,LEN(A143)-1),1),0), '销售数据明细'!$C:$C, B143, '销售数据明细'!$D:$D, C143)</f>
      </c>
    </row>
    <row customHeight="true" ht="15" r="144">
      <c r="A144" s="24" t="s">
        <v>1244</v>
      </c>
      <c r="B144" s="24" t="s">
        <v>1245</v>
      </c>
      <c r="C144" s="24" t="s">
        <v>1246</v>
      </c>
      <c r="D144" s="25">
        <f>SUMIFS('销售数据明细'!$F:$F, '销售数据明细'!$B:$B, "&gt;="&amp;DATE(2024,LEFT(A144,LEN(A144)-1),1), '销售数据明细'!$B:$B, "&lt;="&amp;EOMONTH(DATE(2024,LEFT(A144,LEN(A144)-1),1),0), '销售数据明细'!$C:$C, B144, '销售数据明细'!$D:$D, C144)</f>
      </c>
      <c r="E144" s="26">
        <f>SUMIFS('销售数据明细'!$H:$H, '销售数据明细'!$B:$B, "&gt;="&amp;DATE(2024,LEFT(A144,LEN(A144)-1),1), '销售数据明细'!$B:$B, "&lt;="&amp;EOMONTH(DATE(2024,LEFT(A144,LEN(A144)-1),1),0), '销售数据明细'!$C:$C, B144, '销售数据明细'!$D:$D, C144)</f>
      </c>
      <c r="F144" s="26">
        <f>SUMIFS('销售数据明细'!$J:$J, '销售数据明细'!$B:$B, "&gt;="&amp;DATE(2024,LEFT(A144,LEN(A144)-1),1), '销售数据明细'!$B:$B, "&lt;="&amp;EOMONTH(DATE(2024,LEFT(A144,LEN(A144)-1),1),0), '销售数据明细'!$C:$C, B144, '销售数据明细'!$D:$D, C144)</f>
      </c>
    </row>
    <row customHeight="true" ht="15" r="145">
      <c r="A145" s="21" t="s">
        <v>1247</v>
      </c>
      <c r="B145" s="21" t="s">
        <v>1248</v>
      </c>
      <c r="C145" s="21" t="s">
        <v>1249</v>
      </c>
      <c r="D145" s="22">
        <f>SUMIFS('销售数据明细'!$F:$F, '销售数据明细'!$B:$B, "&gt;="&amp;DATE(2024,LEFT(A145,LEN(A145)-1),1), '销售数据明细'!$B:$B, "&lt;="&amp;EOMONTH(DATE(2024,LEFT(A145,LEN(A145)-1),1),0), '销售数据明细'!$C:$C, B145, '销售数据明细'!$D:$D, C145)</f>
      </c>
      <c r="E145" s="23">
        <f>SUMIFS('销售数据明细'!$H:$H, '销售数据明细'!$B:$B, "&gt;="&amp;DATE(2024,LEFT(A145,LEN(A145)-1),1), '销售数据明细'!$B:$B, "&lt;="&amp;EOMONTH(DATE(2024,LEFT(A145,LEN(A145)-1),1),0), '销售数据明细'!$C:$C, B145, '销售数据明细'!$D:$D, C145)</f>
      </c>
      <c r="F145" s="23">
        <f>SUMIFS('销售数据明细'!$J:$J, '销售数据明细'!$B:$B, "&gt;="&amp;DATE(2024,LEFT(A145,LEN(A145)-1),1), '销售数据明细'!$B:$B, "&lt;="&amp;EOMONTH(DATE(2024,LEFT(A145,LEN(A145)-1),1),0), '销售数据明细'!$C:$C, B145, '销售数据明细'!$D:$D, C145)</f>
      </c>
    </row>
    <row customHeight="true" ht="15" r="146">
      <c r="A146" s="24" t="s">
        <v>1250</v>
      </c>
      <c r="B146" s="24" t="s">
        <v>1251</v>
      </c>
      <c r="C146" s="24" t="s">
        <v>1252</v>
      </c>
      <c r="D146" s="25">
        <f>SUMIFS('销售数据明细'!$F:$F, '销售数据明细'!$B:$B, "&gt;="&amp;DATE(2024,LEFT(A146,LEN(A146)-1),1), '销售数据明细'!$B:$B, "&lt;="&amp;EOMONTH(DATE(2024,LEFT(A146,LEN(A146)-1),1),0), '销售数据明细'!$C:$C, B146, '销售数据明细'!$D:$D, C146)</f>
      </c>
      <c r="E146" s="26">
        <f>SUMIFS('销售数据明细'!$H:$H, '销售数据明细'!$B:$B, "&gt;="&amp;DATE(2024,LEFT(A146,LEN(A146)-1),1), '销售数据明细'!$B:$B, "&lt;="&amp;EOMONTH(DATE(2024,LEFT(A146,LEN(A146)-1),1),0), '销售数据明细'!$C:$C, B146, '销售数据明细'!$D:$D, C146)</f>
      </c>
      <c r="F146" s="26">
        <f>SUMIFS('销售数据明细'!$J:$J, '销售数据明细'!$B:$B, "&gt;="&amp;DATE(2024,LEFT(A146,LEN(A146)-1),1), '销售数据明细'!$B:$B, "&lt;="&amp;EOMONTH(DATE(2024,LEFT(A146,LEN(A146)-1),1),0), '销售数据明细'!$C:$C, B146, '销售数据明细'!$D:$D, C146)</f>
      </c>
    </row>
    <row customHeight="true" ht="15" r="147">
      <c r="A147" s="21" t="s">
        <v>1253</v>
      </c>
      <c r="B147" s="21" t="s">
        <v>1254</v>
      </c>
      <c r="C147" s="21" t="s">
        <v>1255</v>
      </c>
      <c r="D147" s="22">
        <f>SUMIFS('销售数据明细'!$F:$F, '销售数据明细'!$B:$B, "&gt;="&amp;DATE(2024,LEFT(A147,LEN(A147)-1),1), '销售数据明细'!$B:$B, "&lt;="&amp;EOMONTH(DATE(2024,LEFT(A147,LEN(A147)-1),1),0), '销售数据明细'!$C:$C, B147, '销售数据明细'!$D:$D, C147)</f>
      </c>
      <c r="E147" s="23">
        <f>SUMIFS('销售数据明细'!$H:$H, '销售数据明细'!$B:$B, "&gt;="&amp;DATE(2024,LEFT(A147,LEN(A147)-1),1), '销售数据明细'!$B:$B, "&lt;="&amp;EOMONTH(DATE(2024,LEFT(A147,LEN(A147)-1),1),0), '销售数据明细'!$C:$C, B147, '销售数据明细'!$D:$D, C147)</f>
      </c>
      <c r="F147" s="23">
        <f>SUMIFS('销售数据明细'!$J:$J, '销售数据明细'!$B:$B, "&gt;="&amp;DATE(2024,LEFT(A147,LEN(A147)-1),1), '销售数据明细'!$B:$B, "&lt;="&amp;EOMONTH(DATE(2024,LEFT(A147,LEN(A147)-1),1),0), '销售数据明细'!$C:$C, B147, '销售数据明细'!$D:$D, C147)</f>
      </c>
    </row>
    <row customHeight="true" ht="15" r="148">
      <c r="A148" s="24" t="s">
        <v>1256</v>
      </c>
      <c r="B148" s="24" t="s">
        <v>1257</v>
      </c>
      <c r="C148" s="24" t="s">
        <v>1258</v>
      </c>
      <c r="D148" s="25">
        <f>SUMIFS('销售数据明细'!$F:$F, '销售数据明细'!$B:$B, "&gt;="&amp;DATE(2024,LEFT(A148,LEN(A148)-1),1), '销售数据明细'!$B:$B, "&lt;="&amp;EOMONTH(DATE(2024,LEFT(A148,LEN(A148)-1),1),0), '销售数据明细'!$C:$C, B148, '销售数据明细'!$D:$D, C148)</f>
      </c>
      <c r="E148" s="26">
        <f>SUMIFS('销售数据明细'!$H:$H, '销售数据明细'!$B:$B, "&gt;="&amp;DATE(2024,LEFT(A148,LEN(A148)-1),1), '销售数据明细'!$B:$B, "&lt;="&amp;EOMONTH(DATE(2024,LEFT(A148,LEN(A148)-1),1),0), '销售数据明细'!$C:$C, B148, '销售数据明细'!$D:$D, C148)</f>
      </c>
      <c r="F148" s="26">
        <f>SUMIFS('销售数据明细'!$J:$J, '销售数据明细'!$B:$B, "&gt;="&amp;DATE(2024,LEFT(A148,LEN(A148)-1),1), '销售数据明细'!$B:$B, "&lt;="&amp;EOMONTH(DATE(2024,LEFT(A148,LEN(A148)-1),1),0), '销售数据明细'!$C:$C, B148, '销售数据明细'!$D:$D, C148)</f>
      </c>
    </row>
    <row customHeight="true" ht="15" r="149">
      <c r="A149" s="21" t="s">
        <v>1259</v>
      </c>
      <c r="B149" s="21" t="s">
        <v>1260</v>
      </c>
      <c r="C149" s="21" t="s">
        <v>1261</v>
      </c>
      <c r="D149" s="22">
        <f>SUMIFS('销售数据明细'!$F:$F, '销售数据明细'!$B:$B, "&gt;="&amp;DATE(2024,LEFT(A149,LEN(A149)-1),1), '销售数据明细'!$B:$B, "&lt;="&amp;EOMONTH(DATE(2024,LEFT(A149,LEN(A149)-1),1),0), '销售数据明细'!$C:$C, B149, '销售数据明细'!$D:$D, C149)</f>
      </c>
      <c r="E149" s="23">
        <f>SUMIFS('销售数据明细'!$H:$H, '销售数据明细'!$B:$B, "&gt;="&amp;DATE(2024,LEFT(A149,LEN(A149)-1),1), '销售数据明细'!$B:$B, "&lt;="&amp;EOMONTH(DATE(2024,LEFT(A149,LEN(A149)-1),1),0), '销售数据明细'!$C:$C, B149, '销售数据明细'!$D:$D, C149)</f>
      </c>
      <c r="F149" s="23">
        <f>SUMIFS('销售数据明细'!$J:$J, '销售数据明细'!$B:$B, "&gt;="&amp;DATE(2024,LEFT(A149,LEN(A149)-1),1), '销售数据明细'!$B:$B, "&lt;="&amp;EOMONTH(DATE(2024,LEFT(A149,LEN(A149)-1),1),0), '销售数据明细'!$C:$C, B149, '销售数据明细'!$D:$D, C149)</f>
      </c>
    </row>
    <row customHeight="true" ht="15" r="150">
      <c r="A150" s="24" t="s">
        <v>1262</v>
      </c>
      <c r="B150" s="24" t="s">
        <v>1263</v>
      </c>
      <c r="C150" s="24" t="s">
        <v>1264</v>
      </c>
      <c r="D150" s="25">
        <f>SUMIFS('销售数据明细'!$F:$F, '销售数据明细'!$B:$B, "&gt;="&amp;DATE(2024,LEFT(A150,LEN(A150)-1),1), '销售数据明细'!$B:$B, "&lt;="&amp;EOMONTH(DATE(2024,LEFT(A150,LEN(A150)-1),1),0), '销售数据明细'!$C:$C, B150, '销售数据明细'!$D:$D, C150)</f>
      </c>
      <c r="E150" s="26">
        <f>SUMIFS('销售数据明细'!$H:$H, '销售数据明细'!$B:$B, "&gt;="&amp;DATE(2024,LEFT(A150,LEN(A150)-1),1), '销售数据明细'!$B:$B, "&lt;="&amp;EOMONTH(DATE(2024,LEFT(A150,LEN(A150)-1),1),0), '销售数据明细'!$C:$C, B150, '销售数据明细'!$D:$D, C150)</f>
      </c>
      <c r="F150" s="26">
        <f>SUMIFS('销售数据明细'!$J:$J, '销售数据明细'!$B:$B, "&gt;="&amp;DATE(2024,LEFT(A150,LEN(A150)-1),1), '销售数据明细'!$B:$B, "&lt;="&amp;EOMONTH(DATE(2024,LEFT(A150,LEN(A150)-1),1),0), '销售数据明细'!$C:$C, B150, '销售数据明细'!$D:$D, C150)</f>
      </c>
    </row>
    <row customHeight="true" ht="15" r="151">
      <c r="A151" s="21" t="s">
        <v>1265</v>
      </c>
      <c r="B151" s="21" t="s">
        <v>1266</v>
      </c>
      <c r="C151" s="21" t="s">
        <v>1267</v>
      </c>
      <c r="D151" s="22">
        <f>SUMIFS('销售数据明细'!$F:$F, '销售数据明细'!$B:$B, "&gt;="&amp;DATE(2024,LEFT(A151,LEN(A151)-1),1), '销售数据明细'!$B:$B, "&lt;="&amp;EOMONTH(DATE(2024,LEFT(A151,LEN(A151)-1),1),0), '销售数据明细'!$C:$C, B151, '销售数据明细'!$D:$D, C151)</f>
      </c>
      <c r="E151" s="23">
        <f>SUMIFS('销售数据明细'!$H:$H, '销售数据明细'!$B:$B, "&gt;="&amp;DATE(2024,LEFT(A151,LEN(A151)-1),1), '销售数据明细'!$B:$B, "&lt;="&amp;EOMONTH(DATE(2024,LEFT(A151,LEN(A151)-1),1),0), '销售数据明细'!$C:$C, B151, '销售数据明细'!$D:$D, C151)</f>
      </c>
      <c r="F151" s="23">
        <f>SUMIFS('销售数据明细'!$J:$J, '销售数据明细'!$B:$B, "&gt;="&amp;DATE(2024,LEFT(A151,LEN(A151)-1),1), '销售数据明细'!$B:$B, "&lt;="&amp;EOMONTH(DATE(2024,LEFT(A151,LEN(A151)-1),1),0), '销售数据明细'!$C:$C, B151, '销售数据明细'!$D:$D, C151)</f>
      </c>
    </row>
    <row customHeight="true" ht="15" r="152">
      <c r="A152" s="24" t="s">
        <v>1268</v>
      </c>
      <c r="B152" s="24" t="s">
        <v>1269</v>
      </c>
      <c r="C152" s="24" t="s">
        <v>1270</v>
      </c>
      <c r="D152" s="25">
        <f>SUMIFS('销售数据明细'!$F:$F, '销售数据明细'!$B:$B, "&gt;="&amp;DATE(2024,LEFT(A152,LEN(A152)-1),1), '销售数据明细'!$B:$B, "&lt;="&amp;EOMONTH(DATE(2024,LEFT(A152,LEN(A152)-1),1),0), '销售数据明细'!$C:$C, B152, '销售数据明细'!$D:$D, C152)</f>
      </c>
      <c r="E152" s="26">
        <f>SUMIFS('销售数据明细'!$H:$H, '销售数据明细'!$B:$B, "&gt;="&amp;DATE(2024,LEFT(A152,LEN(A152)-1),1), '销售数据明细'!$B:$B, "&lt;="&amp;EOMONTH(DATE(2024,LEFT(A152,LEN(A152)-1),1),0), '销售数据明细'!$C:$C, B152, '销售数据明细'!$D:$D, C152)</f>
      </c>
      <c r="F152" s="26">
        <f>SUMIFS('销售数据明细'!$J:$J, '销售数据明细'!$B:$B, "&gt;="&amp;DATE(2024,LEFT(A152,LEN(A152)-1),1), '销售数据明细'!$B:$B, "&lt;="&amp;EOMONTH(DATE(2024,LEFT(A152,LEN(A152)-1),1),0), '销售数据明细'!$C:$C, B152, '销售数据明细'!$D:$D, C152)</f>
      </c>
    </row>
    <row customHeight="true" ht="15" r="153">
      <c r="A153" s="21" t="s">
        <v>1271</v>
      </c>
      <c r="B153" s="21" t="s">
        <v>1272</v>
      </c>
      <c r="C153" s="21" t="s">
        <v>1273</v>
      </c>
      <c r="D153" s="22">
        <f>SUMIFS('销售数据明细'!$F:$F, '销售数据明细'!$B:$B, "&gt;="&amp;DATE(2024,LEFT(A153,LEN(A153)-1),1), '销售数据明细'!$B:$B, "&lt;="&amp;EOMONTH(DATE(2024,LEFT(A153,LEN(A153)-1),1),0), '销售数据明细'!$C:$C, B153, '销售数据明细'!$D:$D, C153)</f>
      </c>
      <c r="E153" s="23">
        <f>SUMIFS('销售数据明细'!$H:$H, '销售数据明细'!$B:$B, "&gt;="&amp;DATE(2024,LEFT(A153,LEN(A153)-1),1), '销售数据明细'!$B:$B, "&lt;="&amp;EOMONTH(DATE(2024,LEFT(A153,LEN(A153)-1),1),0), '销售数据明细'!$C:$C, B153, '销售数据明细'!$D:$D, C153)</f>
      </c>
      <c r="F153" s="23">
        <f>SUMIFS('销售数据明细'!$J:$J, '销售数据明细'!$B:$B, "&gt;="&amp;DATE(2024,LEFT(A153,LEN(A153)-1),1), '销售数据明细'!$B:$B, "&lt;="&amp;EOMONTH(DATE(2024,LEFT(A153,LEN(A153)-1),1),0), '销售数据明细'!$C:$C, B153, '销售数据明细'!$D:$D, C153)</f>
      </c>
    </row>
    <row customHeight="true" ht="15" r="154">
      <c r="A154" s="24" t="s">
        <v>1274</v>
      </c>
      <c r="B154" s="24" t="s">
        <v>1275</v>
      </c>
      <c r="C154" s="24" t="s">
        <v>1276</v>
      </c>
      <c r="D154" s="25">
        <f>SUMIFS('销售数据明细'!$F:$F, '销售数据明细'!$B:$B, "&gt;="&amp;DATE(2024,LEFT(A154,LEN(A154)-1),1), '销售数据明细'!$B:$B, "&lt;="&amp;EOMONTH(DATE(2024,LEFT(A154,LEN(A154)-1),1),0), '销售数据明细'!$C:$C, B154, '销售数据明细'!$D:$D, C154)</f>
      </c>
      <c r="E154" s="26">
        <f>SUMIFS('销售数据明细'!$H:$H, '销售数据明细'!$B:$B, "&gt;="&amp;DATE(2024,LEFT(A154,LEN(A154)-1),1), '销售数据明细'!$B:$B, "&lt;="&amp;EOMONTH(DATE(2024,LEFT(A154,LEN(A154)-1),1),0), '销售数据明细'!$C:$C, B154, '销售数据明细'!$D:$D, C154)</f>
      </c>
      <c r="F154" s="26">
        <f>SUMIFS('销售数据明细'!$J:$J, '销售数据明细'!$B:$B, "&gt;="&amp;DATE(2024,LEFT(A154,LEN(A154)-1),1), '销售数据明细'!$B:$B, "&lt;="&amp;EOMONTH(DATE(2024,LEFT(A154,LEN(A154)-1),1),0), '销售数据明细'!$C:$C, B154, '销售数据明细'!$D:$D, C154)</f>
      </c>
    </row>
    <row customHeight="true" ht="15" r="155">
      <c r="A155" s="21" t="s">
        <v>1277</v>
      </c>
      <c r="B155" s="21" t="s">
        <v>1278</v>
      </c>
      <c r="C155" s="21" t="s">
        <v>1279</v>
      </c>
      <c r="D155" s="22">
        <f>SUMIFS('销售数据明细'!$F:$F, '销售数据明细'!$B:$B, "&gt;="&amp;DATE(2024,LEFT(A155,LEN(A155)-1),1), '销售数据明细'!$B:$B, "&lt;="&amp;EOMONTH(DATE(2024,LEFT(A155,LEN(A155)-1),1),0), '销售数据明细'!$C:$C, B155, '销售数据明细'!$D:$D, C155)</f>
      </c>
      <c r="E155" s="23">
        <f>SUMIFS('销售数据明细'!$H:$H, '销售数据明细'!$B:$B, "&gt;="&amp;DATE(2024,LEFT(A155,LEN(A155)-1),1), '销售数据明细'!$B:$B, "&lt;="&amp;EOMONTH(DATE(2024,LEFT(A155,LEN(A155)-1),1),0), '销售数据明细'!$C:$C, B155, '销售数据明细'!$D:$D, C155)</f>
      </c>
      <c r="F155" s="23">
        <f>SUMIFS('销售数据明细'!$J:$J, '销售数据明细'!$B:$B, "&gt;="&amp;DATE(2024,LEFT(A155,LEN(A155)-1),1), '销售数据明细'!$B:$B, "&lt;="&amp;EOMONTH(DATE(2024,LEFT(A155,LEN(A155)-1),1),0), '销售数据明细'!$C:$C, B155, '销售数据明细'!$D:$D, C155)</f>
      </c>
    </row>
    <row customHeight="true" ht="15" r="156">
      <c r="A156" s="24" t="s">
        <v>1280</v>
      </c>
      <c r="B156" s="24" t="s">
        <v>1281</v>
      </c>
      <c r="C156" s="24" t="s">
        <v>1282</v>
      </c>
      <c r="D156" s="25">
        <f>SUMIFS('销售数据明细'!$F:$F, '销售数据明细'!$B:$B, "&gt;="&amp;DATE(2024,LEFT(A156,LEN(A156)-1),1), '销售数据明细'!$B:$B, "&lt;="&amp;EOMONTH(DATE(2024,LEFT(A156,LEN(A156)-1),1),0), '销售数据明细'!$C:$C, B156, '销售数据明细'!$D:$D, C156)</f>
      </c>
      <c r="E156" s="26">
        <f>SUMIFS('销售数据明细'!$H:$H, '销售数据明细'!$B:$B, "&gt;="&amp;DATE(2024,LEFT(A156,LEN(A156)-1),1), '销售数据明细'!$B:$B, "&lt;="&amp;EOMONTH(DATE(2024,LEFT(A156,LEN(A156)-1),1),0), '销售数据明细'!$C:$C, B156, '销售数据明细'!$D:$D, C156)</f>
      </c>
      <c r="F156" s="26">
        <f>SUMIFS('销售数据明细'!$J:$J, '销售数据明细'!$B:$B, "&gt;="&amp;DATE(2024,LEFT(A156,LEN(A156)-1),1), '销售数据明细'!$B:$B, "&lt;="&amp;EOMONTH(DATE(2024,LEFT(A156,LEN(A156)-1),1),0), '销售数据明细'!$C:$C, B156, '销售数据明细'!$D:$D, C156)</f>
      </c>
    </row>
    <row customHeight="true" ht="15" r="157">
      <c r="A157" s="21" t="s">
        <v>1283</v>
      </c>
      <c r="B157" s="21" t="s">
        <v>1284</v>
      </c>
      <c r="C157" s="21" t="s">
        <v>1285</v>
      </c>
      <c r="D157" s="22">
        <f>SUMIFS('销售数据明细'!$F:$F, '销售数据明细'!$B:$B, "&gt;="&amp;DATE(2024,LEFT(A157,LEN(A157)-1),1), '销售数据明细'!$B:$B, "&lt;="&amp;EOMONTH(DATE(2024,LEFT(A157,LEN(A157)-1),1),0), '销售数据明细'!$C:$C, B157, '销售数据明细'!$D:$D, C157)</f>
      </c>
      <c r="E157" s="23">
        <f>SUMIFS('销售数据明细'!$H:$H, '销售数据明细'!$B:$B, "&gt;="&amp;DATE(2024,LEFT(A157,LEN(A157)-1),1), '销售数据明细'!$B:$B, "&lt;="&amp;EOMONTH(DATE(2024,LEFT(A157,LEN(A157)-1),1),0), '销售数据明细'!$C:$C, B157, '销售数据明细'!$D:$D, C157)</f>
      </c>
      <c r="F157" s="23">
        <f>SUMIFS('销售数据明细'!$J:$J, '销售数据明细'!$B:$B, "&gt;="&amp;DATE(2024,LEFT(A157,LEN(A157)-1),1), '销售数据明细'!$B:$B, "&lt;="&amp;EOMONTH(DATE(2024,LEFT(A157,LEN(A157)-1),1),0), '销售数据明细'!$C:$C, B157, '销售数据明细'!$D:$D, C157)</f>
      </c>
    </row>
    <row customHeight="true" ht="15" r="158">
      <c r="A158" s="24" t="s">
        <v>1286</v>
      </c>
      <c r="B158" s="24" t="s">
        <v>1287</v>
      </c>
      <c r="C158" s="24" t="s">
        <v>1288</v>
      </c>
      <c r="D158" s="25">
        <f>SUMIFS('销售数据明细'!$F:$F, '销售数据明细'!$B:$B, "&gt;="&amp;DATE(2024,LEFT(A158,LEN(A158)-1),1), '销售数据明细'!$B:$B, "&lt;="&amp;EOMONTH(DATE(2024,LEFT(A158,LEN(A158)-1),1),0), '销售数据明细'!$C:$C, B158, '销售数据明细'!$D:$D, C158)</f>
      </c>
      <c r="E158" s="26">
        <f>SUMIFS('销售数据明细'!$H:$H, '销售数据明细'!$B:$B, "&gt;="&amp;DATE(2024,LEFT(A158,LEN(A158)-1),1), '销售数据明细'!$B:$B, "&lt;="&amp;EOMONTH(DATE(2024,LEFT(A158,LEN(A158)-1),1),0), '销售数据明细'!$C:$C, B158, '销售数据明细'!$D:$D, C158)</f>
      </c>
      <c r="F158" s="26">
        <f>SUMIFS('销售数据明细'!$J:$J, '销售数据明细'!$B:$B, "&gt;="&amp;DATE(2024,LEFT(A158,LEN(A158)-1),1), '销售数据明细'!$B:$B, "&lt;="&amp;EOMONTH(DATE(2024,LEFT(A158,LEN(A158)-1),1),0), '销售数据明细'!$C:$C, B158, '销售数据明细'!$D:$D, C158)</f>
      </c>
    </row>
    <row customHeight="true" ht="15" r="159">
      <c r="A159" s="21" t="s">
        <v>1289</v>
      </c>
      <c r="B159" s="21" t="s">
        <v>1290</v>
      </c>
      <c r="C159" s="21" t="s">
        <v>1291</v>
      </c>
      <c r="D159" s="22">
        <f>SUMIFS('销售数据明细'!$F:$F, '销售数据明细'!$B:$B, "&gt;="&amp;DATE(2024,LEFT(A159,LEN(A159)-1),1), '销售数据明细'!$B:$B, "&lt;="&amp;EOMONTH(DATE(2024,LEFT(A159,LEN(A159)-1),1),0), '销售数据明细'!$C:$C, B159, '销售数据明细'!$D:$D, C159)</f>
      </c>
      <c r="E159" s="23">
        <f>SUMIFS('销售数据明细'!$H:$H, '销售数据明细'!$B:$B, "&gt;="&amp;DATE(2024,LEFT(A159,LEN(A159)-1),1), '销售数据明细'!$B:$B, "&lt;="&amp;EOMONTH(DATE(2024,LEFT(A159,LEN(A159)-1),1),0), '销售数据明细'!$C:$C, B159, '销售数据明细'!$D:$D, C159)</f>
      </c>
      <c r="F159" s="23">
        <f>SUMIFS('销售数据明细'!$J:$J, '销售数据明细'!$B:$B, "&gt;="&amp;DATE(2024,LEFT(A159,LEN(A159)-1),1), '销售数据明细'!$B:$B, "&lt;="&amp;EOMONTH(DATE(2024,LEFT(A159,LEN(A159)-1),1),0), '销售数据明细'!$C:$C, B159, '销售数据明细'!$D:$D, C159)</f>
      </c>
    </row>
    <row customHeight="true" ht="15" r="160">
      <c r="A160" s="24" t="s">
        <v>1292</v>
      </c>
      <c r="B160" s="24" t="s">
        <v>1293</v>
      </c>
      <c r="C160" s="24" t="s">
        <v>1294</v>
      </c>
      <c r="D160" s="25">
        <f>SUMIFS('销售数据明细'!$F:$F, '销售数据明细'!$B:$B, "&gt;="&amp;DATE(2024,LEFT(A160,LEN(A160)-1),1), '销售数据明细'!$B:$B, "&lt;="&amp;EOMONTH(DATE(2024,LEFT(A160,LEN(A160)-1),1),0), '销售数据明细'!$C:$C, B160, '销售数据明细'!$D:$D, C160)</f>
      </c>
      <c r="E160" s="26">
        <f>SUMIFS('销售数据明细'!$H:$H, '销售数据明细'!$B:$B, "&gt;="&amp;DATE(2024,LEFT(A160,LEN(A160)-1),1), '销售数据明细'!$B:$B, "&lt;="&amp;EOMONTH(DATE(2024,LEFT(A160,LEN(A160)-1),1),0), '销售数据明细'!$C:$C, B160, '销售数据明细'!$D:$D, C160)</f>
      </c>
      <c r="F160" s="26">
        <f>SUMIFS('销售数据明细'!$J:$J, '销售数据明细'!$B:$B, "&gt;="&amp;DATE(2024,LEFT(A160,LEN(A160)-1),1), '销售数据明细'!$B:$B, "&lt;="&amp;EOMONTH(DATE(2024,LEFT(A160,LEN(A160)-1),1),0), '销售数据明细'!$C:$C, B160, '销售数据明细'!$D:$D, C160)</f>
      </c>
    </row>
    <row customHeight="true" ht="15" r="161">
      <c r="A161" s="21" t="s">
        <v>1295</v>
      </c>
      <c r="B161" s="21" t="s">
        <v>1296</v>
      </c>
      <c r="C161" s="21" t="s">
        <v>1297</v>
      </c>
      <c r="D161" s="22">
        <f>SUMIFS('销售数据明细'!$F:$F, '销售数据明细'!$B:$B, "&gt;="&amp;DATE(2024,LEFT(A161,LEN(A161)-1),1), '销售数据明细'!$B:$B, "&lt;="&amp;EOMONTH(DATE(2024,LEFT(A161,LEN(A161)-1),1),0), '销售数据明细'!$C:$C, B161, '销售数据明细'!$D:$D, C161)</f>
      </c>
      <c r="E161" s="23">
        <f>SUMIFS('销售数据明细'!$H:$H, '销售数据明细'!$B:$B, "&gt;="&amp;DATE(2024,LEFT(A161,LEN(A161)-1),1), '销售数据明细'!$B:$B, "&lt;="&amp;EOMONTH(DATE(2024,LEFT(A161,LEN(A161)-1),1),0), '销售数据明细'!$C:$C, B161, '销售数据明细'!$D:$D, C161)</f>
      </c>
      <c r="F161" s="23">
        <f>SUMIFS('销售数据明细'!$J:$J, '销售数据明细'!$B:$B, "&gt;="&amp;DATE(2024,LEFT(A161,LEN(A161)-1),1), '销售数据明细'!$B:$B, "&lt;="&amp;EOMONTH(DATE(2024,LEFT(A161,LEN(A161)-1),1),0), '销售数据明细'!$C:$C, B161, '销售数据明细'!$D:$D, C161)</f>
      </c>
    </row>
    <row customHeight="true" ht="15" r="162">
      <c r="A162" s="24" t="s">
        <v>1298</v>
      </c>
      <c r="B162" s="24" t="s">
        <v>1299</v>
      </c>
      <c r="C162" s="24" t="s">
        <v>1300</v>
      </c>
      <c r="D162" s="25">
        <f>SUMIFS('销售数据明细'!$F:$F, '销售数据明细'!$B:$B, "&gt;="&amp;DATE(2024,LEFT(A162,LEN(A162)-1),1), '销售数据明细'!$B:$B, "&lt;="&amp;EOMONTH(DATE(2024,LEFT(A162,LEN(A162)-1),1),0), '销售数据明细'!$C:$C, B162, '销售数据明细'!$D:$D, C162)</f>
      </c>
      <c r="E162" s="26">
        <f>SUMIFS('销售数据明细'!$H:$H, '销售数据明细'!$B:$B, "&gt;="&amp;DATE(2024,LEFT(A162,LEN(A162)-1),1), '销售数据明细'!$B:$B, "&lt;="&amp;EOMONTH(DATE(2024,LEFT(A162,LEN(A162)-1),1),0), '销售数据明细'!$C:$C, B162, '销售数据明细'!$D:$D, C162)</f>
      </c>
      <c r="F162" s="26">
        <f>SUMIFS('销售数据明细'!$J:$J, '销售数据明细'!$B:$B, "&gt;="&amp;DATE(2024,LEFT(A162,LEN(A162)-1),1), '销售数据明细'!$B:$B, "&lt;="&amp;EOMONTH(DATE(2024,LEFT(A162,LEN(A162)-1),1),0), '销售数据明细'!$C:$C, B162, '销售数据明细'!$D:$D, C162)</f>
      </c>
    </row>
    <row customHeight="true" ht="15" r="163">
      <c r="A163" s="21" t="s">
        <v>1301</v>
      </c>
      <c r="B163" s="21" t="s">
        <v>1302</v>
      </c>
      <c r="C163" s="21" t="s">
        <v>1303</v>
      </c>
      <c r="D163" s="22">
        <f>SUMIFS('销售数据明细'!$F:$F, '销售数据明细'!$B:$B, "&gt;="&amp;DATE(2024,LEFT(A163,LEN(A163)-1),1), '销售数据明细'!$B:$B, "&lt;="&amp;EOMONTH(DATE(2024,LEFT(A163,LEN(A163)-1),1),0), '销售数据明细'!$C:$C, B163, '销售数据明细'!$D:$D, C163)</f>
      </c>
      <c r="E163" s="23">
        <f>SUMIFS('销售数据明细'!$H:$H, '销售数据明细'!$B:$B, "&gt;="&amp;DATE(2024,LEFT(A163,LEN(A163)-1),1), '销售数据明细'!$B:$B, "&lt;="&amp;EOMONTH(DATE(2024,LEFT(A163,LEN(A163)-1),1),0), '销售数据明细'!$C:$C, B163, '销售数据明细'!$D:$D, C163)</f>
      </c>
      <c r="F163" s="23">
        <f>SUMIFS('销售数据明细'!$J:$J, '销售数据明细'!$B:$B, "&gt;="&amp;DATE(2024,LEFT(A163,LEN(A163)-1),1), '销售数据明细'!$B:$B, "&lt;="&amp;EOMONTH(DATE(2024,LEFT(A163,LEN(A163)-1),1),0), '销售数据明细'!$C:$C, B163, '销售数据明细'!$D:$D, C163)</f>
      </c>
    </row>
    <row customHeight="true" ht="15" r="164">
      <c r="A164" s="24" t="s">
        <v>1304</v>
      </c>
      <c r="B164" s="24" t="s">
        <v>1305</v>
      </c>
      <c r="C164" s="24" t="s">
        <v>1306</v>
      </c>
      <c r="D164" s="25">
        <f>SUMIFS('销售数据明细'!$F:$F, '销售数据明细'!$B:$B, "&gt;="&amp;DATE(2024,LEFT(A164,LEN(A164)-1),1), '销售数据明细'!$B:$B, "&lt;="&amp;EOMONTH(DATE(2024,LEFT(A164,LEN(A164)-1),1),0), '销售数据明细'!$C:$C, B164, '销售数据明细'!$D:$D, C164)</f>
      </c>
      <c r="E164" s="26">
        <f>SUMIFS('销售数据明细'!$H:$H, '销售数据明细'!$B:$B, "&gt;="&amp;DATE(2024,LEFT(A164,LEN(A164)-1),1), '销售数据明细'!$B:$B, "&lt;="&amp;EOMONTH(DATE(2024,LEFT(A164,LEN(A164)-1),1),0), '销售数据明细'!$C:$C, B164, '销售数据明细'!$D:$D, C164)</f>
      </c>
      <c r="F164" s="26">
        <f>SUMIFS('销售数据明细'!$J:$J, '销售数据明细'!$B:$B, "&gt;="&amp;DATE(2024,LEFT(A164,LEN(A164)-1),1), '销售数据明细'!$B:$B, "&lt;="&amp;EOMONTH(DATE(2024,LEFT(A164,LEN(A164)-1),1),0), '销售数据明细'!$C:$C, B164, '销售数据明细'!$D:$D, C164)</f>
      </c>
    </row>
    <row customHeight="true" ht="15" r="165">
      <c r="A165" s="21" t="s">
        <v>1307</v>
      </c>
      <c r="B165" s="21" t="s">
        <v>1308</v>
      </c>
      <c r="C165" s="21" t="s">
        <v>1309</v>
      </c>
      <c r="D165" s="22">
        <f>SUMIFS('销售数据明细'!$F:$F, '销售数据明细'!$B:$B, "&gt;="&amp;DATE(2024,LEFT(A165,LEN(A165)-1),1), '销售数据明细'!$B:$B, "&lt;="&amp;EOMONTH(DATE(2024,LEFT(A165,LEN(A165)-1),1),0), '销售数据明细'!$C:$C, B165, '销售数据明细'!$D:$D, C165)</f>
      </c>
      <c r="E165" s="23">
        <f>SUMIFS('销售数据明细'!$H:$H, '销售数据明细'!$B:$B, "&gt;="&amp;DATE(2024,LEFT(A165,LEN(A165)-1),1), '销售数据明细'!$B:$B, "&lt;="&amp;EOMONTH(DATE(2024,LEFT(A165,LEN(A165)-1),1),0), '销售数据明细'!$C:$C, B165, '销售数据明细'!$D:$D, C165)</f>
      </c>
      <c r="F165" s="23">
        <f>SUMIFS('销售数据明细'!$J:$J, '销售数据明细'!$B:$B, "&gt;="&amp;DATE(2024,LEFT(A165,LEN(A165)-1),1), '销售数据明细'!$B:$B, "&lt;="&amp;EOMONTH(DATE(2024,LEFT(A165,LEN(A165)-1),1),0), '销售数据明细'!$C:$C, B165, '销售数据明细'!$D:$D, C165)</f>
      </c>
    </row>
    <row customHeight="true" ht="15" r="166">
      <c r="A166" s="24" t="s">
        <v>1310</v>
      </c>
      <c r="B166" s="24" t="s">
        <v>1311</v>
      </c>
      <c r="C166" s="24" t="s">
        <v>1312</v>
      </c>
      <c r="D166" s="25">
        <f>SUMIFS('销售数据明细'!$F:$F, '销售数据明细'!$B:$B, "&gt;="&amp;DATE(2024,LEFT(A166,LEN(A166)-1),1), '销售数据明细'!$B:$B, "&lt;="&amp;EOMONTH(DATE(2024,LEFT(A166,LEN(A166)-1),1),0), '销售数据明细'!$C:$C, B166, '销售数据明细'!$D:$D, C166)</f>
      </c>
      <c r="E166" s="26">
        <f>SUMIFS('销售数据明细'!$H:$H, '销售数据明细'!$B:$B, "&gt;="&amp;DATE(2024,LEFT(A166,LEN(A166)-1),1), '销售数据明细'!$B:$B, "&lt;="&amp;EOMONTH(DATE(2024,LEFT(A166,LEN(A166)-1),1),0), '销售数据明细'!$C:$C, B166, '销售数据明细'!$D:$D, C166)</f>
      </c>
      <c r="F166" s="26">
        <f>SUMIFS('销售数据明细'!$J:$J, '销售数据明细'!$B:$B, "&gt;="&amp;DATE(2024,LEFT(A166,LEN(A166)-1),1), '销售数据明细'!$B:$B, "&lt;="&amp;EOMONTH(DATE(2024,LEFT(A166,LEN(A166)-1),1),0), '销售数据明细'!$C:$C, B166, '销售数据明细'!$D:$D, C166)</f>
      </c>
    </row>
    <row customHeight="true" ht="15" r="167">
      <c r="A167" s="21" t="s">
        <v>1313</v>
      </c>
      <c r="B167" s="21" t="s">
        <v>1314</v>
      </c>
      <c r="C167" s="21" t="s">
        <v>1315</v>
      </c>
      <c r="D167" s="22">
        <f>SUMIFS('销售数据明细'!$F:$F, '销售数据明细'!$B:$B, "&gt;="&amp;DATE(2024,LEFT(A167,LEN(A167)-1),1), '销售数据明细'!$B:$B, "&lt;="&amp;EOMONTH(DATE(2024,LEFT(A167,LEN(A167)-1),1),0), '销售数据明细'!$C:$C, B167, '销售数据明细'!$D:$D, C167)</f>
      </c>
      <c r="E167" s="23">
        <f>SUMIFS('销售数据明细'!$H:$H, '销售数据明细'!$B:$B, "&gt;="&amp;DATE(2024,LEFT(A167,LEN(A167)-1),1), '销售数据明细'!$B:$B, "&lt;="&amp;EOMONTH(DATE(2024,LEFT(A167,LEN(A167)-1),1),0), '销售数据明细'!$C:$C, B167, '销售数据明细'!$D:$D, C167)</f>
      </c>
      <c r="F167" s="23">
        <f>SUMIFS('销售数据明细'!$J:$J, '销售数据明细'!$B:$B, "&gt;="&amp;DATE(2024,LEFT(A167,LEN(A167)-1),1), '销售数据明细'!$B:$B, "&lt;="&amp;EOMONTH(DATE(2024,LEFT(A167,LEN(A167)-1),1),0), '销售数据明细'!$C:$C, B167, '销售数据明细'!$D:$D, C167)</f>
      </c>
    </row>
    <row customHeight="true" ht="15" r="168">
      <c r="A168" s="24" t="s">
        <v>1316</v>
      </c>
      <c r="B168" s="24" t="s">
        <v>1317</v>
      </c>
      <c r="C168" s="24" t="s">
        <v>1318</v>
      </c>
      <c r="D168" s="25">
        <f>SUMIFS('销售数据明细'!$F:$F, '销售数据明细'!$B:$B, "&gt;="&amp;DATE(2024,LEFT(A168,LEN(A168)-1),1), '销售数据明细'!$B:$B, "&lt;="&amp;EOMONTH(DATE(2024,LEFT(A168,LEN(A168)-1),1),0), '销售数据明细'!$C:$C, B168, '销售数据明细'!$D:$D, C168)</f>
      </c>
      <c r="E168" s="26">
        <f>SUMIFS('销售数据明细'!$H:$H, '销售数据明细'!$B:$B, "&gt;="&amp;DATE(2024,LEFT(A168,LEN(A168)-1),1), '销售数据明细'!$B:$B, "&lt;="&amp;EOMONTH(DATE(2024,LEFT(A168,LEN(A168)-1),1),0), '销售数据明细'!$C:$C, B168, '销售数据明细'!$D:$D, C168)</f>
      </c>
      <c r="F168" s="26">
        <f>SUMIFS('销售数据明细'!$J:$J, '销售数据明细'!$B:$B, "&gt;="&amp;DATE(2024,LEFT(A168,LEN(A168)-1),1), '销售数据明细'!$B:$B, "&lt;="&amp;EOMONTH(DATE(2024,LEFT(A168,LEN(A168)-1),1),0), '销售数据明细'!$C:$C, B168, '销售数据明细'!$D:$D, C168)</f>
      </c>
    </row>
    <row customHeight="true" ht="15" r="169">
      <c r="A169" s="21" t="s">
        <v>1319</v>
      </c>
      <c r="B169" s="21" t="s">
        <v>1320</v>
      </c>
      <c r="C169" s="21" t="s">
        <v>1321</v>
      </c>
      <c r="D169" s="22">
        <f>SUMIFS('销售数据明细'!$F:$F, '销售数据明细'!$B:$B, "&gt;="&amp;DATE(2024,LEFT(A169,LEN(A169)-1),1), '销售数据明细'!$B:$B, "&lt;="&amp;EOMONTH(DATE(2024,LEFT(A169,LEN(A169)-1),1),0), '销售数据明细'!$C:$C, B169, '销售数据明细'!$D:$D, C169)</f>
      </c>
      <c r="E169" s="23">
        <f>SUMIFS('销售数据明细'!$H:$H, '销售数据明细'!$B:$B, "&gt;="&amp;DATE(2024,LEFT(A169,LEN(A169)-1),1), '销售数据明细'!$B:$B, "&lt;="&amp;EOMONTH(DATE(2024,LEFT(A169,LEN(A169)-1),1),0), '销售数据明细'!$C:$C, B169, '销售数据明细'!$D:$D, C169)</f>
      </c>
      <c r="F169" s="23">
        <f>SUMIFS('销售数据明细'!$J:$J, '销售数据明细'!$B:$B, "&gt;="&amp;DATE(2024,LEFT(A169,LEN(A169)-1),1), '销售数据明细'!$B:$B, "&lt;="&amp;EOMONTH(DATE(2024,LEFT(A169,LEN(A169)-1),1),0), '销售数据明细'!$C:$C, B169, '销售数据明细'!$D:$D, C169)</f>
      </c>
    </row>
    <row customHeight="true" ht="15" r="170">
      <c r="A170" s="24" t="s">
        <v>1322</v>
      </c>
      <c r="B170" s="24" t="s">
        <v>1323</v>
      </c>
      <c r="C170" s="24" t="s">
        <v>1324</v>
      </c>
      <c r="D170" s="25">
        <f>SUMIFS('销售数据明细'!$F:$F, '销售数据明细'!$B:$B, "&gt;="&amp;DATE(2024,LEFT(A170,LEN(A170)-1),1), '销售数据明细'!$B:$B, "&lt;="&amp;EOMONTH(DATE(2024,LEFT(A170,LEN(A170)-1),1),0), '销售数据明细'!$C:$C, B170, '销售数据明细'!$D:$D, C170)</f>
      </c>
      <c r="E170" s="26">
        <f>SUMIFS('销售数据明细'!$H:$H, '销售数据明细'!$B:$B, "&gt;="&amp;DATE(2024,LEFT(A170,LEN(A170)-1),1), '销售数据明细'!$B:$B, "&lt;="&amp;EOMONTH(DATE(2024,LEFT(A170,LEN(A170)-1),1),0), '销售数据明细'!$C:$C, B170, '销售数据明细'!$D:$D, C170)</f>
      </c>
      <c r="F170" s="26">
        <f>SUMIFS('销售数据明细'!$J:$J, '销售数据明细'!$B:$B, "&gt;="&amp;DATE(2024,LEFT(A170,LEN(A170)-1),1), '销售数据明细'!$B:$B, "&lt;="&amp;EOMONTH(DATE(2024,LEFT(A170,LEN(A170)-1),1),0), '销售数据明细'!$C:$C, B170, '销售数据明细'!$D:$D, C170)</f>
      </c>
    </row>
    <row customHeight="true" ht="15" r="171">
      <c r="A171" s="21" t="s">
        <v>1325</v>
      </c>
      <c r="B171" s="21" t="s">
        <v>1326</v>
      </c>
      <c r="C171" s="21" t="s">
        <v>1327</v>
      </c>
      <c r="D171" s="22">
        <f>SUMIFS('销售数据明细'!$F:$F, '销售数据明细'!$B:$B, "&gt;="&amp;DATE(2024,LEFT(A171,LEN(A171)-1),1), '销售数据明细'!$B:$B, "&lt;="&amp;EOMONTH(DATE(2024,LEFT(A171,LEN(A171)-1),1),0), '销售数据明细'!$C:$C, B171, '销售数据明细'!$D:$D, C171)</f>
      </c>
      <c r="E171" s="23">
        <f>SUMIFS('销售数据明细'!$H:$H, '销售数据明细'!$B:$B, "&gt;="&amp;DATE(2024,LEFT(A171,LEN(A171)-1),1), '销售数据明细'!$B:$B, "&lt;="&amp;EOMONTH(DATE(2024,LEFT(A171,LEN(A171)-1),1),0), '销售数据明细'!$C:$C, B171, '销售数据明细'!$D:$D, C171)</f>
      </c>
      <c r="F171" s="23">
        <f>SUMIFS('销售数据明细'!$J:$J, '销售数据明细'!$B:$B, "&gt;="&amp;DATE(2024,LEFT(A171,LEN(A171)-1),1), '销售数据明细'!$B:$B, "&lt;="&amp;EOMONTH(DATE(2024,LEFT(A171,LEN(A171)-1),1),0), '销售数据明细'!$C:$C, B171, '销售数据明细'!$D:$D, C171)</f>
      </c>
    </row>
    <row customHeight="true" ht="15" r="172">
      <c r="A172" s="24" t="s">
        <v>1328</v>
      </c>
      <c r="B172" s="24" t="s">
        <v>1329</v>
      </c>
      <c r="C172" s="24" t="s">
        <v>1330</v>
      </c>
      <c r="D172" s="25">
        <f>SUMIFS('销售数据明细'!$F:$F, '销售数据明细'!$B:$B, "&gt;="&amp;DATE(2024,LEFT(A172,LEN(A172)-1),1), '销售数据明细'!$B:$B, "&lt;="&amp;EOMONTH(DATE(2024,LEFT(A172,LEN(A172)-1),1),0), '销售数据明细'!$C:$C, B172, '销售数据明细'!$D:$D, C172)</f>
      </c>
      <c r="E172" s="26">
        <f>SUMIFS('销售数据明细'!$H:$H, '销售数据明细'!$B:$B, "&gt;="&amp;DATE(2024,LEFT(A172,LEN(A172)-1),1), '销售数据明细'!$B:$B, "&lt;="&amp;EOMONTH(DATE(2024,LEFT(A172,LEN(A172)-1),1),0), '销售数据明细'!$C:$C, B172, '销售数据明细'!$D:$D, C172)</f>
      </c>
      <c r="F172" s="26">
        <f>SUMIFS('销售数据明细'!$J:$J, '销售数据明细'!$B:$B, "&gt;="&amp;DATE(2024,LEFT(A172,LEN(A172)-1),1), '销售数据明细'!$B:$B, "&lt;="&amp;EOMONTH(DATE(2024,LEFT(A172,LEN(A172)-1),1),0), '销售数据明细'!$C:$C, B172, '销售数据明细'!$D:$D, C172)</f>
      </c>
    </row>
    <row customHeight="true" ht="15" r="173">
      <c r="A173" s="21" t="s">
        <v>1331</v>
      </c>
      <c r="B173" s="21" t="s">
        <v>1332</v>
      </c>
      <c r="C173" s="21" t="s">
        <v>1333</v>
      </c>
      <c r="D173" s="22">
        <f>SUMIFS('销售数据明细'!$F:$F, '销售数据明细'!$B:$B, "&gt;="&amp;DATE(2024,LEFT(A173,LEN(A173)-1),1), '销售数据明细'!$B:$B, "&lt;="&amp;EOMONTH(DATE(2024,LEFT(A173,LEN(A173)-1),1),0), '销售数据明细'!$C:$C, B173, '销售数据明细'!$D:$D, C173)</f>
      </c>
      <c r="E173" s="23">
        <f>SUMIFS('销售数据明细'!$H:$H, '销售数据明细'!$B:$B, "&gt;="&amp;DATE(2024,LEFT(A173,LEN(A173)-1),1), '销售数据明细'!$B:$B, "&lt;="&amp;EOMONTH(DATE(2024,LEFT(A173,LEN(A173)-1),1),0), '销售数据明细'!$C:$C, B173, '销售数据明细'!$D:$D, C173)</f>
      </c>
      <c r="F173" s="23">
        <f>SUMIFS('销售数据明细'!$J:$J, '销售数据明细'!$B:$B, "&gt;="&amp;DATE(2024,LEFT(A173,LEN(A173)-1),1), '销售数据明细'!$B:$B, "&lt;="&amp;EOMONTH(DATE(2024,LEFT(A173,LEN(A173)-1),1),0), '销售数据明细'!$C:$C, B173, '销售数据明细'!$D:$D, C173)</f>
      </c>
    </row>
    <row customHeight="true" ht="15" r="174">
      <c r="A174" s="24" t="s">
        <v>1334</v>
      </c>
      <c r="B174" s="24" t="s">
        <v>1335</v>
      </c>
      <c r="C174" s="24" t="s">
        <v>1336</v>
      </c>
      <c r="D174" s="25">
        <f>SUMIFS('销售数据明细'!$F:$F, '销售数据明细'!$B:$B, "&gt;="&amp;DATE(2024,LEFT(A174,LEN(A174)-1),1), '销售数据明细'!$B:$B, "&lt;="&amp;EOMONTH(DATE(2024,LEFT(A174,LEN(A174)-1),1),0), '销售数据明细'!$C:$C, B174, '销售数据明细'!$D:$D, C174)</f>
      </c>
      <c r="E174" s="26">
        <f>SUMIFS('销售数据明细'!$H:$H, '销售数据明细'!$B:$B, "&gt;="&amp;DATE(2024,LEFT(A174,LEN(A174)-1),1), '销售数据明细'!$B:$B, "&lt;="&amp;EOMONTH(DATE(2024,LEFT(A174,LEN(A174)-1),1),0), '销售数据明细'!$C:$C, B174, '销售数据明细'!$D:$D, C174)</f>
      </c>
      <c r="F174" s="26">
        <f>SUMIFS('销售数据明细'!$J:$J, '销售数据明细'!$B:$B, "&gt;="&amp;DATE(2024,LEFT(A174,LEN(A174)-1),1), '销售数据明细'!$B:$B, "&lt;="&amp;EOMONTH(DATE(2024,LEFT(A174,LEN(A174)-1),1),0), '销售数据明细'!$C:$C, B174, '销售数据明细'!$D:$D, C174)</f>
      </c>
    </row>
    <row customHeight="true" ht="15" r="175">
      <c r="A175" s="21" t="s">
        <v>1337</v>
      </c>
      <c r="B175" s="21" t="s">
        <v>1338</v>
      </c>
      <c r="C175" s="21" t="s">
        <v>1339</v>
      </c>
      <c r="D175" s="22">
        <f>SUMIFS('销售数据明细'!$F:$F, '销售数据明细'!$B:$B, "&gt;="&amp;DATE(2024,LEFT(A175,LEN(A175)-1),1), '销售数据明细'!$B:$B, "&lt;="&amp;EOMONTH(DATE(2024,LEFT(A175,LEN(A175)-1),1),0), '销售数据明细'!$C:$C, B175, '销售数据明细'!$D:$D, C175)</f>
      </c>
      <c r="E175" s="23">
        <f>SUMIFS('销售数据明细'!$H:$H, '销售数据明细'!$B:$B, "&gt;="&amp;DATE(2024,LEFT(A175,LEN(A175)-1),1), '销售数据明细'!$B:$B, "&lt;="&amp;EOMONTH(DATE(2024,LEFT(A175,LEN(A175)-1),1),0), '销售数据明细'!$C:$C, B175, '销售数据明细'!$D:$D, C175)</f>
      </c>
      <c r="F175" s="23">
        <f>SUMIFS('销售数据明细'!$J:$J, '销售数据明细'!$B:$B, "&gt;="&amp;DATE(2024,LEFT(A175,LEN(A175)-1),1), '销售数据明细'!$B:$B, "&lt;="&amp;EOMONTH(DATE(2024,LEFT(A175,LEN(A175)-1),1),0), '销售数据明细'!$C:$C, B175, '销售数据明细'!$D:$D, C175)</f>
      </c>
    </row>
    <row customHeight="true" ht="15" r="176">
      <c r="A176" s="24" t="s">
        <v>1340</v>
      </c>
      <c r="B176" s="24" t="s">
        <v>1341</v>
      </c>
      <c r="C176" s="24" t="s">
        <v>1342</v>
      </c>
      <c r="D176" s="25">
        <f>SUMIFS('销售数据明细'!$F:$F, '销售数据明细'!$B:$B, "&gt;="&amp;DATE(2024,LEFT(A176,LEN(A176)-1),1), '销售数据明细'!$B:$B, "&lt;="&amp;EOMONTH(DATE(2024,LEFT(A176,LEN(A176)-1),1),0), '销售数据明细'!$C:$C, B176, '销售数据明细'!$D:$D, C176)</f>
      </c>
      <c r="E176" s="26">
        <f>SUMIFS('销售数据明细'!$H:$H, '销售数据明细'!$B:$B, "&gt;="&amp;DATE(2024,LEFT(A176,LEN(A176)-1),1), '销售数据明细'!$B:$B, "&lt;="&amp;EOMONTH(DATE(2024,LEFT(A176,LEN(A176)-1),1),0), '销售数据明细'!$C:$C, B176, '销售数据明细'!$D:$D, C176)</f>
      </c>
      <c r="F176" s="26">
        <f>SUMIFS('销售数据明细'!$J:$J, '销售数据明细'!$B:$B, "&gt;="&amp;DATE(2024,LEFT(A176,LEN(A176)-1),1), '销售数据明细'!$B:$B, "&lt;="&amp;EOMONTH(DATE(2024,LEFT(A176,LEN(A176)-1),1),0), '销售数据明细'!$C:$C, B176, '销售数据明细'!$D:$D, C176)</f>
      </c>
    </row>
    <row customHeight="true" ht="15" r="177">
      <c r="A177" s="21" t="s">
        <v>1343</v>
      </c>
      <c r="B177" s="21" t="s">
        <v>1344</v>
      </c>
      <c r="C177" s="21" t="s">
        <v>1345</v>
      </c>
      <c r="D177" s="22">
        <f>SUMIFS('销售数据明细'!$F:$F, '销售数据明细'!$B:$B, "&gt;="&amp;DATE(2024,LEFT(A177,LEN(A177)-1),1), '销售数据明细'!$B:$B, "&lt;="&amp;EOMONTH(DATE(2024,LEFT(A177,LEN(A177)-1),1),0), '销售数据明细'!$C:$C, B177, '销售数据明细'!$D:$D, C177)</f>
      </c>
      <c r="E177" s="23">
        <f>SUMIFS('销售数据明细'!$H:$H, '销售数据明细'!$B:$B, "&gt;="&amp;DATE(2024,LEFT(A177,LEN(A177)-1),1), '销售数据明细'!$B:$B, "&lt;="&amp;EOMONTH(DATE(2024,LEFT(A177,LEN(A177)-1),1),0), '销售数据明细'!$C:$C, B177, '销售数据明细'!$D:$D, C177)</f>
      </c>
      <c r="F177" s="23">
        <f>SUMIFS('销售数据明细'!$J:$J, '销售数据明细'!$B:$B, "&gt;="&amp;DATE(2024,LEFT(A177,LEN(A177)-1),1), '销售数据明细'!$B:$B, "&lt;="&amp;EOMONTH(DATE(2024,LEFT(A177,LEN(A177)-1),1),0), '销售数据明细'!$C:$C, B177, '销售数据明细'!$D:$D, C177)</f>
      </c>
    </row>
    <row customHeight="true" ht="15" r="178">
      <c r="A178" s="24" t="s">
        <v>1346</v>
      </c>
      <c r="B178" s="24" t="s">
        <v>1347</v>
      </c>
      <c r="C178" s="24" t="s">
        <v>1348</v>
      </c>
      <c r="D178" s="25">
        <f>SUMIFS('销售数据明细'!$F:$F, '销售数据明细'!$B:$B, "&gt;="&amp;DATE(2024,LEFT(A178,LEN(A178)-1),1), '销售数据明细'!$B:$B, "&lt;="&amp;EOMONTH(DATE(2024,LEFT(A178,LEN(A178)-1),1),0), '销售数据明细'!$C:$C, B178, '销售数据明细'!$D:$D, C178)</f>
      </c>
      <c r="E178" s="26">
        <f>SUMIFS('销售数据明细'!$H:$H, '销售数据明细'!$B:$B, "&gt;="&amp;DATE(2024,LEFT(A178,LEN(A178)-1),1), '销售数据明细'!$B:$B, "&lt;="&amp;EOMONTH(DATE(2024,LEFT(A178,LEN(A178)-1),1),0), '销售数据明细'!$C:$C, B178, '销售数据明细'!$D:$D, C178)</f>
      </c>
      <c r="F178" s="26">
        <f>SUMIFS('销售数据明细'!$J:$J, '销售数据明细'!$B:$B, "&gt;="&amp;DATE(2024,LEFT(A178,LEN(A178)-1),1), '销售数据明细'!$B:$B, "&lt;="&amp;EOMONTH(DATE(2024,LEFT(A178,LEN(A178)-1),1),0), '销售数据明细'!$C:$C, B178, '销售数据明细'!$D:$D, C178)</f>
      </c>
    </row>
    <row customHeight="true" ht="15" r="179">
      <c r="A179" s="21" t="s">
        <v>1349</v>
      </c>
      <c r="B179" s="21" t="s">
        <v>1350</v>
      </c>
      <c r="C179" s="21" t="s">
        <v>1351</v>
      </c>
      <c r="D179" s="22">
        <f>SUMIFS('销售数据明细'!$F:$F, '销售数据明细'!$B:$B, "&gt;="&amp;DATE(2024,LEFT(A179,LEN(A179)-1),1), '销售数据明细'!$B:$B, "&lt;="&amp;EOMONTH(DATE(2024,LEFT(A179,LEN(A179)-1),1),0), '销售数据明细'!$C:$C, B179, '销售数据明细'!$D:$D, C179)</f>
      </c>
      <c r="E179" s="23">
        <f>SUMIFS('销售数据明细'!$H:$H, '销售数据明细'!$B:$B, "&gt;="&amp;DATE(2024,LEFT(A179,LEN(A179)-1),1), '销售数据明细'!$B:$B, "&lt;="&amp;EOMONTH(DATE(2024,LEFT(A179,LEN(A179)-1),1),0), '销售数据明细'!$C:$C, B179, '销售数据明细'!$D:$D, C179)</f>
      </c>
      <c r="F179" s="23">
        <f>SUMIFS('销售数据明细'!$J:$J, '销售数据明细'!$B:$B, "&gt;="&amp;DATE(2024,LEFT(A179,LEN(A179)-1),1), '销售数据明细'!$B:$B, "&lt;="&amp;EOMONTH(DATE(2024,LEFT(A179,LEN(A179)-1),1),0), '销售数据明细'!$C:$C, B179, '销售数据明细'!$D:$D, C179)</f>
      </c>
    </row>
    <row customHeight="true" ht="15" r="180">
      <c r="A180" s="24" t="s">
        <v>1352</v>
      </c>
      <c r="B180" s="24" t="s">
        <v>1353</v>
      </c>
      <c r="C180" s="24" t="s">
        <v>1354</v>
      </c>
      <c r="D180" s="25">
        <f>SUMIFS('销售数据明细'!$F:$F, '销售数据明细'!$B:$B, "&gt;="&amp;DATE(2024,LEFT(A180,LEN(A180)-1),1), '销售数据明细'!$B:$B, "&lt;="&amp;EOMONTH(DATE(2024,LEFT(A180,LEN(A180)-1),1),0), '销售数据明细'!$C:$C, B180, '销售数据明细'!$D:$D, C180)</f>
      </c>
      <c r="E180" s="26">
        <f>SUMIFS('销售数据明细'!$H:$H, '销售数据明细'!$B:$B, "&gt;="&amp;DATE(2024,LEFT(A180,LEN(A180)-1),1), '销售数据明细'!$B:$B, "&lt;="&amp;EOMONTH(DATE(2024,LEFT(A180,LEN(A180)-1),1),0), '销售数据明细'!$C:$C, B180, '销售数据明细'!$D:$D, C180)</f>
      </c>
      <c r="F180" s="26">
        <f>SUMIFS('销售数据明细'!$J:$J, '销售数据明细'!$B:$B, "&gt;="&amp;DATE(2024,LEFT(A180,LEN(A180)-1),1), '销售数据明细'!$B:$B, "&lt;="&amp;EOMONTH(DATE(2024,LEFT(A180,LEN(A180)-1),1),0), '销售数据明细'!$C:$C, B180, '销售数据明细'!$D:$D, C180)</f>
      </c>
    </row>
    <row customHeight="true" ht="15" r="181">
      <c r="A181" s="21" t="s">
        <v>1355</v>
      </c>
      <c r="B181" s="21" t="s">
        <v>1356</v>
      </c>
      <c r="C181" s="21" t="s">
        <v>1357</v>
      </c>
      <c r="D181" s="22">
        <f>SUMIFS('销售数据明细'!$F:$F, '销售数据明细'!$B:$B, "&gt;="&amp;DATE(2024,LEFT(A181,LEN(A181)-1),1), '销售数据明细'!$B:$B, "&lt;="&amp;EOMONTH(DATE(2024,LEFT(A181,LEN(A181)-1),1),0), '销售数据明细'!$C:$C, B181, '销售数据明细'!$D:$D, C181)</f>
      </c>
      <c r="E181" s="23">
        <f>SUMIFS('销售数据明细'!$H:$H, '销售数据明细'!$B:$B, "&gt;="&amp;DATE(2024,LEFT(A181,LEN(A181)-1),1), '销售数据明细'!$B:$B, "&lt;="&amp;EOMONTH(DATE(2024,LEFT(A181,LEN(A181)-1),1),0), '销售数据明细'!$C:$C, B181, '销售数据明细'!$D:$D, C181)</f>
      </c>
      <c r="F181" s="23">
        <f>SUMIFS('销售数据明细'!$J:$J, '销售数据明细'!$B:$B, "&gt;="&amp;DATE(2024,LEFT(A181,LEN(A181)-1),1), '销售数据明细'!$B:$B, "&lt;="&amp;EOMONTH(DATE(2024,LEFT(A181,LEN(A181)-1),1),0), '销售数据明细'!$C:$C, B181, '销售数据明细'!$D:$D, C181)</f>
      </c>
    </row>
    <row customHeight="true" ht="15" r="182">
      <c r="A182" s="24" t="s">
        <v>1358</v>
      </c>
      <c r="B182" s="24" t="s">
        <v>1359</v>
      </c>
      <c r="C182" s="24" t="s">
        <v>1360</v>
      </c>
      <c r="D182" s="25">
        <f>SUMIFS('销售数据明细'!$F:$F, '销售数据明细'!$B:$B, "&gt;="&amp;DATE(2024,LEFT(A182,LEN(A182)-1),1), '销售数据明细'!$B:$B, "&lt;="&amp;EOMONTH(DATE(2024,LEFT(A182,LEN(A182)-1),1),0), '销售数据明细'!$C:$C, B182, '销售数据明细'!$D:$D, C182)</f>
      </c>
      <c r="E182" s="26">
        <f>SUMIFS('销售数据明细'!$H:$H, '销售数据明细'!$B:$B, "&gt;="&amp;DATE(2024,LEFT(A182,LEN(A182)-1),1), '销售数据明细'!$B:$B, "&lt;="&amp;EOMONTH(DATE(2024,LEFT(A182,LEN(A182)-1),1),0), '销售数据明细'!$C:$C, B182, '销售数据明细'!$D:$D, C182)</f>
      </c>
      <c r="F182" s="26">
        <f>SUMIFS('销售数据明细'!$J:$J, '销售数据明细'!$B:$B, "&gt;="&amp;DATE(2024,LEFT(A182,LEN(A182)-1),1), '销售数据明细'!$B:$B, "&lt;="&amp;EOMONTH(DATE(2024,LEFT(A182,LEN(A182)-1),1),0), '销售数据明细'!$C:$C, B182, '销售数据明细'!$D:$D, C182)</f>
      </c>
    </row>
    <row customHeight="true" ht="15" r="183">
      <c r="A183" s="21" t="s">
        <v>1361</v>
      </c>
      <c r="B183" s="21" t="s">
        <v>1362</v>
      </c>
      <c r="C183" s="21" t="s">
        <v>1363</v>
      </c>
      <c r="D183" s="22">
        <f>SUMIFS('销售数据明细'!$F:$F, '销售数据明细'!$B:$B, "&gt;="&amp;DATE(2024,LEFT(A183,LEN(A183)-1),1), '销售数据明细'!$B:$B, "&lt;="&amp;EOMONTH(DATE(2024,LEFT(A183,LEN(A183)-1),1),0), '销售数据明细'!$C:$C, B183, '销售数据明细'!$D:$D, C183)</f>
      </c>
      <c r="E183" s="23">
        <f>SUMIFS('销售数据明细'!$H:$H, '销售数据明细'!$B:$B, "&gt;="&amp;DATE(2024,LEFT(A183,LEN(A183)-1),1), '销售数据明细'!$B:$B, "&lt;="&amp;EOMONTH(DATE(2024,LEFT(A183,LEN(A183)-1),1),0), '销售数据明细'!$C:$C, B183, '销售数据明细'!$D:$D, C183)</f>
      </c>
      <c r="F183" s="23">
        <f>SUMIFS('销售数据明细'!$J:$J, '销售数据明细'!$B:$B, "&gt;="&amp;DATE(2024,LEFT(A183,LEN(A183)-1),1), '销售数据明细'!$B:$B, "&lt;="&amp;EOMONTH(DATE(2024,LEFT(A183,LEN(A183)-1),1),0), '销售数据明细'!$C:$C, B183, '销售数据明细'!$D:$D, C183)</f>
      </c>
    </row>
    <row customHeight="true" ht="15" r="184">
      <c r="A184" s="24" t="s">
        <v>1364</v>
      </c>
      <c r="B184" s="24" t="s">
        <v>1365</v>
      </c>
      <c r="C184" s="24" t="s">
        <v>1366</v>
      </c>
      <c r="D184" s="25">
        <f>SUMIFS('销售数据明细'!$F:$F, '销售数据明细'!$B:$B, "&gt;="&amp;DATE(2024,LEFT(A184,LEN(A184)-1),1), '销售数据明细'!$B:$B, "&lt;="&amp;EOMONTH(DATE(2024,LEFT(A184,LEN(A184)-1),1),0), '销售数据明细'!$C:$C, B184, '销售数据明细'!$D:$D, C184)</f>
      </c>
      <c r="E184" s="26">
        <f>SUMIFS('销售数据明细'!$H:$H, '销售数据明细'!$B:$B, "&gt;="&amp;DATE(2024,LEFT(A184,LEN(A184)-1),1), '销售数据明细'!$B:$B, "&lt;="&amp;EOMONTH(DATE(2024,LEFT(A184,LEN(A184)-1),1),0), '销售数据明细'!$C:$C, B184, '销售数据明细'!$D:$D, C184)</f>
      </c>
      <c r="F184" s="26">
        <f>SUMIFS('销售数据明细'!$J:$J, '销售数据明细'!$B:$B, "&gt;="&amp;DATE(2024,LEFT(A184,LEN(A184)-1),1), '销售数据明细'!$B:$B, "&lt;="&amp;EOMONTH(DATE(2024,LEFT(A184,LEN(A184)-1),1),0), '销售数据明细'!$C:$C, B184, '销售数据明细'!$D:$D, C184)</f>
      </c>
    </row>
    <row customHeight="true" ht="15" r="185">
      <c r="A185" s="21" t="s">
        <v>1367</v>
      </c>
      <c r="B185" s="21" t="s">
        <v>1368</v>
      </c>
      <c r="C185" s="21" t="s">
        <v>1369</v>
      </c>
      <c r="D185" s="22">
        <f>SUMIFS('销售数据明细'!$F:$F, '销售数据明细'!$B:$B, "&gt;="&amp;DATE(2024,LEFT(A185,LEN(A185)-1),1), '销售数据明细'!$B:$B, "&lt;="&amp;EOMONTH(DATE(2024,LEFT(A185,LEN(A185)-1),1),0), '销售数据明细'!$C:$C, B185, '销售数据明细'!$D:$D, C185)</f>
      </c>
      <c r="E185" s="23">
        <f>SUMIFS('销售数据明细'!$H:$H, '销售数据明细'!$B:$B, "&gt;="&amp;DATE(2024,LEFT(A185,LEN(A185)-1),1), '销售数据明细'!$B:$B, "&lt;="&amp;EOMONTH(DATE(2024,LEFT(A185,LEN(A185)-1),1),0), '销售数据明细'!$C:$C, B185, '销售数据明细'!$D:$D, C185)</f>
      </c>
      <c r="F185" s="23">
        <f>SUMIFS('销售数据明细'!$J:$J, '销售数据明细'!$B:$B, "&gt;="&amp;DATE(2024,LEFT(A185,LEN(A185)-1),1), '销售数据明细'!$B:$B, "&lt;="&amp;EOMONTH(DATE(2024,LEFT(A185,LEN(A185)-1),1),0), '销售数据明细'!$C:$C, B185, '销售数据明细'!$D:$D, C185)</f>
      </c>
    </row>
    <row customHeight="true" ht="15" r="186">
      <c r="A186" s="24" t="s">
        <v>1370</v>
      </c>
      <c r="B186" s="24" t="s">
        <v>1371</v>
      </c>
      <c r="C186" s="24" t="s">
        <v>1372</v>
      </c>
      <c r="D186" s="25">
        <f>SUMIFS('销售数据明细'!$F:$F, '销售数据明细'!$B:$B, "&gt;="&amp;DATE(2024,LEFT(A186,LEN(A186)-1),1), '销售数据明细'!$B:$B, "&lt;="&amp;EOMONTH(DATE(2024,LEFT(A186,LEN(A186)-1),1),0), '销售数据明细'!$C:$C, B186, '销售数据明细'!$D:$D, C186)</f>
      </c>
      <c r="E186" s="26">
        <f>SUMIFS('销售数据明细'!$H:$H, '销售数据明细'!$B:$B, "&gt;="&amp;DATE(2024,LEFT(A186,LEN(A186)-1),1), '销售数据明细'!$B:$B, "&lt;="&amp;EOMONTH(DATE(2024,LEFT(A186,LEN(A186)-1),1),0), '销售数据明细'!$C:$C, B186, '销售数据明细'!$D:$D, C186)</f>
      </c>
      <c r="F186" s="26">
        <f>SUMIFS('销售数据明细'!$J:$J, '销售数据明细'!$B:$B, "&gt;="&amp;DATE(2024,LEFT(A186,LEN(A186)-1),1), '销售数据明细'!$B:$B, "&lt;="&amp;EOMONTH(DATE(2024,LEFT(A186,LEN(A186)-1),1),0), '销售数据明细'!$C:$C, B186, '销售数据明细'!$D:$D, C186)</f>
      </c>
    </row>
    <row customHeight="true" ht="15" r="187">
      <c r="A187" s="21" t="s">
        <v>1373</v>
      </c>
      <c r="B187" s="21" t="s">
        <v>1374</v>
      </c>
      <c r="C187" s="21" t="s">
        <v>1375</v>
      </c>
      <c r="D187" s="22">
        <f>SUMIFS('销售数据明细'!$F:$F, '销售数据明细'!$B:$B, "&gt;="&amp;DATE(2024,LEFT(A187,LEN(A187)-1),1), '销售数据明细'!$B:$B, "&lt;="&amp;EOMONTH(DATE(2024,LEFT(A187,LEN(A187)-1),1),0), '销售数据明细'!$C:$C, B187, '销售数据明细'!$D:$D, C187)</f>
      </c>
      <c r="E187" s="23">
        <f>SUMIFS('销售数据明细'!$H:$H, '销售数据明细'!$B:$B, "&gt;="&amp;DATE(2024,LEFT(A187,LEN(A187)-1),1), '销售数据明细'!$B:$B, "&lt;="&amp;EOMONTH(DATE(2024,LEFT(A187,LEN(A187)-1),1),0), '销售数据明细'!$C:$C, B187, '销售数据明细'!$D:$D, C187)</f>
      </c>
      <c r="F187" s="23">
        <f>SUMIFS('销售数据明细'!$J:$J, '销售数据明细'!$B:$B, "&gt;="&amp;DATE(2024,LEFT(A187,LEN(A187)-1),1), '销售数据明细'!$B:$B, "&lt;="&amp;EOMONTH(DATE(2024,LEFT(A187,LEN(A187)-1),1),0), '销售数据明细'!$C:$C, B187, '销售数据明细'!$D:$D, C187)</f>
      </c>
    </row>
    <row customHeight="true" ht="15" r="188">
      <c r="A188" s="24" t="s">
        <v>1376</v>
      </c>
      <c r="B188" s="24" t="s">
        <v>1377</v>
      </c>
      <c r="C188" s="24" t="s">
        <v>1378</v>
      </c>
      <c r="D188" s="25">
        <f>SUMIFS('销售数据明细'!$F:$F, '销售数据明细'!$B:$B, "&gt;="&amp;DATE(2024,LEFT(A188,LEN(A188)-1),1), '销售数据明细'!$B:$B, "&lt;="&amp;EOMONTH(DATE(2024,LEFT(A188,LEN(A188)-1),1),0), '销售数据明细'!$C:$C, B188, '销售数据明细'!$D:$D, C188)</f>
      </c>
      <c r="E188" s="26">
        <f>SUMIFS('销售数据明细'!$H:$H, '销售数据明细'!$B:$B, "&gt;="&amp;DATE(2024,LEFT(A188,LEN(A188)-1),1), '销售数据明细'!$B:$B, "&lt;="&amp;EOMONTH(DATE(2024,LEFT(A188,LEN(A188)-1),1),0), '销售数据明细'!$C:$C, B188, '销售数据明细'!$D:$D, C188)</f>
      </c>
      <c r="F188" s="26">
        <f>SUMIFS('销售数据明细'!$J:$J, '销售数据明细'!$B:$B, "&gt;="&amp;DATE(2024,LEFT(A188,LEN(A188)-1),1), '销售数据明细'!$B:$B, "&lt;="&amp;EOMONTH(DATE(2024,LEFT(A188,LEN(A188)-1),1),0), '销售数据明细'!$C:$C, B188, '销售数据明细'!$D:$D, C188)</f>
      </c>
    </row>
    <row customHeight="true" ht="15" r="189">
      <c r="A189" s="21" t="s">
        <v>1379</v>
      </c>
      <c r="B189" s="21" t="s">
        <v>1380</v>
      </c>
      <c r="C189" s="21" t="s">
        <v>1381</v>
      </c>
      <c r="D189" s="22">
        <f>SUMIFS('销售数据明细'!$F:$F, '销售数据明细'!$B:$B, "&gt;="&amp;DATE(2024,LEFT(A189,LEN(A189)-1),1), '销售数据明细'!$B:$B, "&lt;="&amp;EOMONTH(DATE(2024,LEFT(A189,LEN(A189)-1),1),0), '销售数据明细'!$C:$C, B189, '销售数据明细'!$D:$D, C189)</f>
      </c>
      <c r="E189" s="23">
        <f>SUMIFS('销售数据明细'!$H:$H, '销售数据明细'!$B:$B, "&gt;="&amp;DATE(2024,LEFT(A189,LEN(A189)-1),1), '销售数据明细'!$B:$B, "&lt;="&amp;EOMONTH(DATE(2024,LEFT(A189,LEN(A189)-1),1),0), '销售数据明细'!$C:$C, B189, '销售数据明细'!$D:$D, C189)</f>
      </c>
      <c r="F189" s="23">
        <f>SUMIFS('销售数据明细'!$J:$J, '销售数据明细'!$B:$B, "&gt;="&amp;DATE(2024,LEFT(A189,LEN(A189)-1),1), '销售数据明细'!$B:$B, "&lt;="&amp;EOMONTH(DATE(2024,LEFT(A189,LEN(A189)-1),1),0), '销售数据明细'!$C:$C, B189, '销售数据明细'!$D:$D, C189)</f>
      </c>
    </row>
    <row customHeight="true" ht="15" r="190">
      <c r="A190" s="24" t="s">
        <v>1382</v>
      </c>
      <c r="B190" s="24" t="s">
        <v>1383</v>
      </c>
      <c r="C190" s="24" t="s">
        <v>1384</v>
      </c>
      <c r="D190" s="25">
        <f>SUMIFS('销售数据明细'!$F:$F, '销售数据明细'!$B:$B, "&gt;="&amp;DATE(2024,LEFT(A190,LEN(A190)-1),1), '销售数据明细'!$B:$B, "&lt;="&amp;EOMONTH(DATE(2024,LEFT(A190,LEN(A190)-1),1),0), '销售数据明细'!$C:$C, B190, '销售数据明细'!$D:$D, C190)</f>
      </c>
      <c r="E190" s="26">
        <f>SUMIFS('销售数据明细'!$H:$H, '销售数据明细'!$B:$B, "&gt;="&amp;DATE(2024,LEFT(A190,LEN(A190)-1),1), '销售数据明细'!$B:$B, "&lt;="&amp;EOMONTH(DATE(2024,LEFT(A190,LEN(A190)-1),1),0), '销售数据明细'!$C:$C, B190, '销售数据明细'!$D:$D, C190)</f>
      </c>
      <c r="F190" s="26">
        <f>SUMIFS('销售数据明细'!$J:$J, '销售数据明细'!$B:$B, "&gt;="&amp;DATE(2024,LEFT(A190,LEN(A190)-1),1), '销售数据明细'!$B:$B, "&lt;="&amp;EOMONTH(DATE(2024,LEFT(A190,LEN(A190)-1),1),0), '销售数据明细'!$C:$C, B190, '销售数据明细'!$D:$D, C190)</f>
      </c>
    </row>
    <row customHeight="true" ht="15" r="191">
      <c r="A191" s="21" t="s">
        <v>1385</v>
      </c>
      <c r="B191" s="21" t="s">
        <v>1386</v>
      </c>
      <c r="C191" s="21" t="s">
        <v>1387</v>
      </c>
      <c r="D191" s="22">
        <f>SUMIFS('销售数据明细'!$F:$F, '销售数据明细'!$B:$B, "&gt;="&amp;DATE(2024,LEFT(A191,LEN(A191)-1),1), '销售数据明细'!$B:$B, "&lt;="&amp;EOMONTH(DATE(2024,LEFT(A191,LEN(A191)-1),1),0), '销售数据明细'!$C:$C, B191, '销售数据明细'!$D:$D, C191)</f>
      </c>
      <c r="E191" s="23">
        <f>SUMIFS('销售数据明细'!$H:$H, '销售数据明细'!$B:$B, "&gt;="&amp;DATE(2024,LEFT(A191,LEN(A191)-1),1), '销售数据明细'!$B:$B, "&lt;="&amp;EOMONTH(DATE(2024,LEFT(A191,LEN(A191)-1),1),0), '销售数据明细'!$C:$C, B191, '销售数据明细'!$D:$D, C191)</f>
      </c>
      <c r="F191" s="23">
        <f>SUMIFS('销售数据明细'!$J:$J, '销售数据明细'!$B:$B, "&gt;="&amp;DATE(2024,LEFT(A191,LEN(A191)-1),1), '销售数据明细'!$B:$B, "&lt;="&amp;EOMONTH(DATE(2024,LEFT(A191,LEN(A191)-1),1),0), '销售数据明细'!$C:$C, B191, '销售数据明细'!$D:$D, C191)</f>
      </c>
    </row>
    <row customHeight="true" ht="15" r="192">
      <c r="A192" s="24" t="s">
        <v>1388</v>
      </c>
      <c r="B192" s="24" t="s">
        <v>1389</v>
      </c>
      <c r="C192" s="24" t="s">
        <v>1390</v>
      </c>
      <c r="D192" s="25">
        <f>SUMIFS('销售数据明细'!$F:$F, '销售数据明细'!$B:$B, "&gt;="&amp;DATE(2024,LEFT(A192,LEN(A192)-1),1), '销售数据明细'!$B:$B, "&lt;="&amp;EOMONTH(DATE(2024,LEFT(A192,LEN(A192)-1),1),0), '销售数据明细'!$C:$C, B192, '销售数据明细'!$D:$D, C192)</f>
      </c>
      <c r="E192" s="26">
        <f>SUMIFS('销售数据明细'!$H:$H, '销售数据明细'!$B:$B, "&gt;="&amp;DATE(2024,LEFT(A192,LEN(A192)-1),1), '销售数据明细'!$B:$B, "&lt;="&amp;EOMONTH(DATE(2024,LEFT(A192,LEN(A192)-1),1),0), '销售数据明细'!$C:$C, B192, '销售数据明细'!$D:$D, C192)</f>
      </c>
      <c r="F192" s="26">
        <f>SUMIFS('销售数据明细'!$J:$J, '销售数据明细'!$B:$B, "&gt;="&amp;DATE(2024,LEFT(A192,LEN(A192)-1),1), '销售数据明细'!$B:$B, "&lt;="&amp;EOMONTH(DATE(2024,LEFT(A192,LEN(A192)-1),1),0), '销售数据明细'!$C:$C, B192, '销售数据明细'!$D:$D, C192)</f>
      </c>
    </row>
    <row customHeight="true" ht="15" r="193">
      <c r="A193" s="21" t="s">
        <v>1391</v>
      </c>
      <c r="B193" s="21" t="s">
        <v>1392</v>
      </c>
      <c r="C193" s="21" t="s">
        <v>1393</v>
      </c>
      <c r="D193" s="22">
        <f>SUMIFS('销售数据明细'!$F:$F, '销售数据明细'!$B:$B, "&gt;="&amp;DATE(2024,LEFT(A193,LEN(A193)-1),1), '销售数据明细'!$B:$B, "&lt;="&amp;EOMONTH(DATE(2024,LEFT(A193,LEN(A193)-1),1),0), '销售数据明细'!$C:$C, B193, '销售数据明细'!$D:$D, C193)</f>
      </c>
      <c r="E193" s="23">
        <f>SUMIFS('销售数据明细'!$H:$H, '销售数据明细'!$B:$B, "&gt;="&amp;DATE(2024,LEFT(A193,LEN(A193)-1),1), '销售数据明细'!$B:$B, "&lt;="&amp;EOMONTH(DATE(2024,LEFT(A193,LEN(A193)-1),1),0), '销售数据明细'!$C:$C, B193, '销售数据明细'!$D:$D, C193)</f>
      </c>
      <c r="F193" s="23">
        <f>SUMIFS('销售数据明细'!$J:$J, '销售数据明细'!$B:$B, "&gt;="&amp;DATE(2024,LEFT(A193,LEN(A193)-1),1), '销售数据明细'!$B:$B, "&lt;="&amp;EOMONTH(DATE(2024,LEFT(A193,LEN(A193)-1),1),0), '销售数据明细'!$C:$C, B193, '销售数据明细'!$D:$D, C193)</f>
      </c>
    </row>
    <row customHeight="true" ht="15" r="194">
      <c r="A194" s="24" t="s">
        <v>1394</v>
      </c>
      <c r="B194" s="24" t="s">
        <v>1395</v>
      </c>
      <c r="C194" s="24" t="s">
        <v>1396</v>
      </c>
      <c r="D194" s="25">
        <f>SUMIFS('销售数据明细'!$F:$F, '销售数据明细'!$B:$B, "&gt;="&amp;DATE(2024,LEFT(A194,LEN(A194)-1),1), '销售数据明细'!$B:$B, "&lt;="&amp;EOMONTH(DATE(2024,LEFT(A194,LEN(A194)-1),1),0), '销售数据明细'!$C:$C, B194, '销售数据明细'!$D:$D, C194)</f>
      </c>
      <c r="E194" s="26">
        <f>SUMIFS('销售数据明细'!$H:$H, '销售数据明细'!$B:$B, "&gt;="&amp;DATE(2024,LEFT(A194,LEN(A194)-1),1), '销售数据明细'!$B:$B, "&lt;="&amp;EOMONTH(DATE(2024,LEFT(A194,LEN(A194)-1),1),0), '销售数据明细'!$C:$C, B194, '销售数据明细'!$D:$D, C194)</f>
      </c>
      <c r="F194" s="26">
        <f>SUMIFS('销售数据明细'!$J:$J, '销售数据明细'!$B:$B, "&gt;="&amp;DATE(2024,LEFT(A194,LEN(A194)-1),1), '销售数据明细'!$B:$B, "&lt;="&amp;EOMONTH(DATE(2024,LEFT(A194,LEN(A194)-1),1),0), '销售数据明细'!$C:$C, B194, '销售数据明细'!$D:$D, C194)</f>
      </c>
    </row>
    <row customHeight="true" ht="15" r="195">
      <c r="A195" s="21" t="s">
        <v>1397</v>
      </c>
      <c r="B195" s="21" t="s">
        <v>1398</v>
      </c>
      <c r="C195" s="21" t="s">
        <v>1399</v>
      </c>
      <c r="D195" s="22">
        <f>SUMIFS('销售数据明细'!$F:$F, '销售数据明细'!$B:$B, "&gt;="&amp;DATE(2024,LEFT(A195,LEN(A195)-1),1), '销售数据明细'!$B:$B, "&lt;="&amp;EOMONTH(DATE(2024,LEFT(A195,LEN(A195)-1),1),0), '销售数据明细'!$C:$C, B195, '销售数据明细'!$D:$D, C195)</f>
      </c>
      <c r="E195" s="23">
        <f>SUMIFS('销售数据明细'!$H:$H, '销售数据明细'!$B:$B, "&gt;="&amp;DATE(2024,LEFT(A195,LEN(A195)-1),1), '销售数据明细'!$B:$B, "&lt;="&amp;EOMONTH(DATE(2024,LEFT(A195,LEN(A195)-1),1),0), '销售数据明细'!$C:$C, B195, '销售数据明细'!$D:$D, C195)</f>
      </c>
      <c r="F195" s="23">
        <f>SUMIFS('销售数据明细'!$J:$J, '销售数据明细'!$B:$B, "&gt;="&amp;DATE(2024,LEFT(A195,LEN(A195)-1),1), '销售数据明细'!$B:$B, "&lt;="&amp;EOMONTH(DATE(2024,LEFT(A195,LEN(A195)-1),1),0), '销售数据明细'!$C:$C, B195, '销售数据明细'!$D:$D, C195)</f>
      </c>
    </row>
    <row customHeight="true" ht="15" r="196">
      <c r="A196" s="24" t="s">
        <v>1400</v>
      </c>
      <c r="B196" s="24" t="s">
        <v>1401</v>
      </c>
      <c r="C196" s="24" t="s">
        <v>1402</v>
      </c>
      <c r="D196" s="25">
        <f>SUMIFS('销售数据明细'!$F:$F, '销售数据明细'!$B:$B, "&gt;="&amp;DATE(2024,LEFT(A196,LEN(A196)-1),1), '销售数据明细'!$B:$B, "&lt;="&amp;EOMONTH(DATE(2024,LEFT(A196,LEN(A196)-1),1),0), '销售数据明细'!$C:$C, B196, '销售数据明细'!$D:$D, C196)</f>
      </c>
      <c r="E196" s="26">
        <f>SUMIFS('销售数据明细'!$H:$H, '销售数据明细'!$B:$B, "&gt;="&amp;DATE(2024,LEFT(A196,LEN(A196)-1),1), '销售数据明细'!$B:$B, "&lt;="&amp;EOMONTH(DATE(2024,LEFT(A196,LEN(A196)-1),1),0), '销售数据明细'!$C:$C, B196, '销售数据明细'!$D:$D, C196)</f>
      </c>
      <c r="F196" s="26">
        <f>SUMIFS('销售数据明细'!$J:$J, '销售数据明细'!$B:$B, "&gt;="&amp;DATE(2024,LEFT(A196,LEN(A196)-1),1), '销售数据明细'!$B:$B, "&lt;="&amp;EOMONTH(DATE(2024,LEFT(A196,LEN(A196)-1),1),0), '销售数据明细'!$C:$C, B196, '销售数据明细'!$D:$D, C196)</f>
      </c>
    </row>
    <row customHeight="true" ht="15" r="197">
      <c r="A197" s="21" t="s">
        <v>1403</v>
      </c>
      <c r="B197" s="21" t="s">
        <v>1404</v>
      </c>
      <c r="C197" s="21" t="s">
        <v>1405</v>
      </c>
      <c r="D197" s="22">
        <f>SUMIFS('销售数据明细'!$F:$F, '销售数据明细'!$B:$B, "&gt;="&amp;DATE(2024,LEFT(A197,LEN(A197)-1),1), '销售数据明细'!$B:$B, "&lt;="&amp;EOMONTH(DATE(2024,LEFT(A197,LEN(A197)-1),1),0), '销售数据明细'!$C:$C, B197, '销售数据明细'!$D:$D, C197)</f>
      </c>
      <c r="E197" s="23">
        <f>SUMIFS('销售数据明细'!$H:$H, '销售数据明细'!$B:$B, "&gt;="&amp;DATE(2024,LEFT(A197,LEN(A197)-1),1), '销售数据明细'!$B:$B, "&lt;="&amp;EOMONTH(DATE(2024,LEFT(A197,LEN(A197)-1),1),0), '销售数据明细'!$C:$C, B197, '销售数据明细'!$D:$D, C197)</f>
      </c>
      <c r="F197" s="23">
        <f>SUMIFS('销售数据明细'!$J:$J, '销售数据明细'!$B:$B, "&gt;="&amp;DATE(2024,LEFT(A197,LEN(A197)-1),1), '销售数据明细'!$B:$B, "&lt;="&amp;EOMONTH(DATE(2024,LEFT(A197,LEN(A197)-1),1),0), '销售数据明细'!$C:$C, B197, '销售数据明细'!$D:$D, C197)</f>
      </c>
    </row>
    <row customHeight="true" ht="15" r="198">
      <c r="A198" s="24" t="s">
        <v>1406</v>
      </c>
      <c r="B198" s="24" t="s">
        <v>1407</v>
      </c>
      <c r="C198" s="24" t="s">
        <v>1408</v>
      </c>
      <c r="D198" s="25">
        <f>SUMIFS('销售数据明细'!$F:$F, '销售数据明细'!$B:$B, "&gt;="&amp;DATE(2024,LEFT(A198,LEN(A198)-1),1), '销售数据明细'!$B:$B, "&lt;="&amp;EOMONTH(DATE(2024,LEFT(A198,LEN(A198)-1),1),0), '销售数据明细'!$C:$C, B198, '销售数据明细'!$D:$D, C198)</f>
      </c>
      <c r="E198" s="26">
        <f>SUMIFS('销售数据明细'!$H:$H, '销售数据明细'!$B:$B, "&gt;="&amp;DATE(2024,LEFT(A198,LEN(A198)-1),1), '销售数据明细'!$B:$B, "&lt;="&amp;EOMONTH(DATE(2024,LEFT(A198,LEN(A198)-1),1),0), '销售数据明细'!$C:$C, B198, '销售数据明细'!$D:$D, C198)</f>
      </c>
      <c r="F198" s="26">
        <f>SUMIFS('销售数据明细'!$J:$J, '销售数据明细'!$B:$B, "&gt;="&amp;DATE(2024,LEFT(A198,LEN(A198)-1),1), '销售数据明细'!$B:$B, "&lt;="&amp;EOMONTH(DATE(2024,LEFT(A198,LEN(A198)-1),1),0), '销售数据明细'!$C:$C, B198, '销售数据明细'!$D:$D, C198)</f>
      </c>
    </row>
    <row customHeight="true" ht="15" r="199">
      <c r="A199" s="21" t="s">
        <v>1409</v>
      </c>
      <c r="B199" s="21" t="s">
        <v>1410</v>
      </c>
      <c r="C199" s="21" t="s">
        <v>1411</v>
      </c>
      <c r="D199" s="22">
        <f>SUMIFS('销售数据明细'!$F:$F, '销售数据明细'!$B:$B, "&gt;="&amp;DATE(2024,LEFT(A199,LEN(A199)-1),1), '销售数据明细'!$B:$B, "&lt;="&amp;EOMONTH(DATE(2024,LEFT(A199,LEN(A199)-1),1),0), '销售数据明细'!$C:$C, B199, '销售数据明细'!$D:$D, C199)</f>
      </c>
      <c r="E199" s="23">
        <f>SUMIFS('销售数据明细'!$H:$H, '销售数据明细'!$B:$B, "&gt;="&amp;DATE(2024,LEFT(A199,LEN(A199)-1),1), '销售数据明细'!$B:$B, "&lt;="&amp;EOMONTH(DATE(2024,LEFT(A199,LEN(A199)-1),1),0), '销售数据明细'!$C:$C, B199, '销售数据明细'!$D:$D, C199)</f>
      </c>
      <c r="F199" s="23">
        <f>SUMIFS('销售数据明细'!$J:$J, '销售数据明细'!$B:$B, "&gt;="&amp;DATE(2024,LEFT(A199,LEN(A199)-1),1), '销售数据明细'!$B:$B, "&lt;="&amp;EOMONTH(DATE(2024,LEFT(A199,LEN(A199)-1),1),0), '销售数据明细'!$C:$C, B199, '销售数据明细'!$D:$D, C199)</f>
      </c>
    </row>
    <row customHeight="true" ht="15" r="200">
      <c r="A200" s="24" t="s">
        <v>1412</v>
      </c>
      <c r="B200" s="24" t="s">
        <v>1413</v>
      </c>
      <c r="C200" s="24" t="s">
        <v>1414</v>
      </c>
      <c r="D200" s="25">
        <f>SUMIFS('销售数据明细'!$F:$F, '销售数据明细'!$B:$B, "&gt;="&amp;DATE(2024,LEFT(A200,LEN(A200)-1),1), '销售数据明细'!$B:$B, "&lt;="&amp;EOMONTH(DATE(2024,LEFT(A200,LEN(A200)-1),1),0), '销售数据明细'!$C:$C, B200, '销售数据明细'!$D:$D, C200)</f>
      </c>
      <c r="E200" s="26">
        <f>SUMIFS('销售数据明细'!$H:$H, '销售数据明细'!$B:$B, "&gt;="&amp;DATE(2024,LEFT(A200,LEN(A200)-1),1), '销售数据明细'!$B:$B, "&lt;="&amp;EOMONTH(DATE(2024,LEFT(A200,LEN(A200)-1),1),0), '销售数据明细'!$C:$C, B200, '销售数据明细'!$D:$D, C200)</f>
      </c>
      <c r="F200" s="26">
        <f>SUMIFS('销售数据明细'!$J:$J, '销售数据明细'!$B:$B, "&gt;="&amp;DATE(2024,LEFT(A200,LEN(A200)-1),1), '销售数据明细'!$B:$B, "&lt;="&amp;EOMONTH(DATE(2024,LEFT(A200,LEN(A200)-1),1),0), '销售数据明细'!$C:$C, B200, '销售数据明细'!$D:$D, C200)</f>
      </c>
    </row>
    <row customHeight="true" ht="15" r="201">
      <c r="A201" s="21" t="s">
        <v>1415</v>
      </c>
      <c r="B201" s="21" t="s">
        <v>1416</v>
      </c>
      <c r="C201" s="21" t="s">
        <v>1417</v>
      </c>
      <c r="D201" s="22">
        <f>SUMIFS('销售数据明细'!$F:$F, '销售数据明细'!$B:$B, "&gt;="&amp;DATE(2024,LEFT(A201,LEN(A201)-1),1), '销售数据明细'!$B:$B, "&lt;="&amp;EOMONTH(DATE(2024,LEFT(A201,LEN(A201)-1),1),0), '销售数据明细'!$C:$C, B201, '销售数据明细'!$D:$D, C201)</f>
      </c>
      <c r="E201" s="23">
        <f>SUMIFS('销售数据明细'!$H:$H, '销售数据明细'!$B:$B, "&gt;="&amp;DATE(2024,LEFT(A201,LEN(A201)-1),1), '销售数据明细'!$B:$B, "&lt;="&amp;EOMONTH(DATE(2024,LEFT(A201,LEN(A201)-1),1),0), '销售数据明细'!$C:$C, B201, '销售数据明细'!$D:$D, C201)</f>
      </c>
      <c r="F201" s="23">
        <f>SUMIFS('销售数据明细'!$J:$J, '销售数据明细'!$B:$B, "&gt;="&amp;DATE(2024,LEFT(A201,LEN(A201)-1),1), '销售数据明细'!$B:$B, "&lt;="&amp;EOMONTH(DATE(2024,LEFT(A201,LEN(A201)-1),1),0), '销售数据明细'!$C:$C, B201, '销售数据明细'!$D:$D, C201)</f>
      </c>
    </row>
    <row customHeight="true" ht="15" r="202">
      <c r="A202" s="24" t="s">
        <v>1418</v>
      </c>
      <c r="B202" s="24" t="s">
        <v>1419</v>
      </c>
      <c r="C202" s="24" t="s">
        <v>1420</v>
      </c>
      <c r="D202" s="25">
        <f>SUMIFS('销售数据明细'!$F:$F, '销售数据明细'!$B:$B, "&gt;="&amp;DATE(2024,LEFT(A202,LEN(A202)-1),1), '销售数据明细'!$B:$B, "&lt;="&amp;EOMONTH(DATE(2024,LEFT(A202,LEN(A202)-1),1),0), '销售数据明细'!$C:$C, B202, '销售数据明细'!$D:$D, C202)</f>
      </c>
      <c r="E202" s="26">
        <f>SUMIFS('销售数据明细'!$H:$H, '销售数据明细'!$B:$B, "&gt;="&amp;DATE(2024,LEFT(A202,LEN(A202)-1),1), '销售数据明细'!$B:$B, "&lt;="&amp;EOMONTH(DATE(2024,LEFT(A202,LEN(A202)-1),1),0), '销售数据明细'!$C:$C, B202, '销售数据明细'!$D:$D, C202)</f>
      </c>
      <c r="F202" s="26">
        <f>SUMIFS('销售数据明细'!$J:$J, '销售数据明细'!$B:$B, "&gt;="&amp;DATE(2024,LEFT(A202,LEN(A202)-1),1), '销售数据明细'!$B:$B, "&lt;="&amp;EOMONTH(DATE(2024,LEFT(A202,LEN(A202)-1),1),0), '销售数据明细'!$C:$C, B202, '销售数据明细'!$D:$D, C202)</f>
      </c>
    </row>
    <row customHeight="true" ht="15" r="203">
      <c r="A203" s="21" t="s">
        <v>1421</v>
      </c>
      <c r="B203" s="21" t="s">
        <v>1422</v>
      </c>
      <c r="C203" s="21" t="s">
        <v>1423</v>
      </c>
      <c r="D203" s="22">
        <f>SUMIFS('销售数据明细'!$F:$F, '销售数据明细'!$B:$B, "&gt;="&amp;DATE(2024,LEFT(A203,LEN(A203)-1),1), '销售数据明细'!$B:$B, "&lt;="&amp;EOMONTH(DATE(2024,LEFT(A203,LEN(A203)-1),1),0), '销售数据明细'!$C:$C, B203, '销售数据明细'!$D:$D, C203)</f>
      </c>
      <c r="E203" s="23">
        <f>SUMIFS('销售数据明细'!$H:$H, '销售数据明细'!$B:$B, "&gt;="&amp;DATE(2024,LEFT(A203,LEN(A203)-1),1), '销售数据明细'!$B:$B, "&lt;="&amp;EOMONTH(DATE(2024,LEFT(A203,LEN(A203)-1),1),0), '销售数据明细'!$C:$C, B203, '销售数据明细'!$D:$D, C203)</f>
      </c>
      <c r="F203" s="23">
        <f>SUMIFS('销售数据明细'!$J:$J, '销售数据明细'!$B:$B, "&gt;="&amp;DATE(2024,LEFT(A203,LEN(A203)-1),1), '销售数据明细'!$B:$B, "&lt;="&amp;EOMONTH(DATE(2024,LEFT(A203,LEN(A203)-1),1),0), '销售数据明细'!$C:$C, B203, '销售数据明细'!$D:$D, C203)</f>
      </c>
    </row>
    <row customHeight="true" ht="15" r="204">
      <c r="A204" s="24" t="s">
        <v>1424</v>
      </c>
      <c r="B204" s="24" t="s">
        <v>1425</v>
      </c>
      <c r="C204" s="24" t="s">
        <v>1426</v>
      </c>
      <c r="D204" s="25">
        <f>SUMIFS('销售数据明细'!$F:$F, '销售数据明细'!$B:$B, "&gt;="&amp;DATE(2024,LEFT(A204,LEN(A204)-1),1), '销售数据明细'!$B:$B, "&lt;="&amp;EOMONTH(DATE(2024,LEFT(A204,LEN(A204)-1),1),0), '销售数据明细'!$C:$C, B204, '销售数据明细'!$D:$D, C204)</f>
      </c>
      <c r="E204" s="26">
        <f>SUMIFS('销售数据明细'!$H:$H, '销售数据明细'!$B:$B, "&gt;="&amp;DATE(2024,LEFT(A204,LEN(A204)-1),1), '销售数据明细'!$B:$B, "&lt;="&amp;EOMONTH(DATE(2024,LEFT(A204,LEN(A204)-1),1),0), '销售数据明细'!$C:$C, B204, '销售数据明细'!$D:$D, C204)</f>
      </c>
      <c r="F204" s="26">
        <f>SUMIFS('销售数据明细'!$J:$J, '销售数据明细'!$B:$B, "&gt;="&amp;DATE(2024,LEFT(A204,LEN(A204)-1),1), '销售数据明细'!$B:$B, "&lt;="&amp;EOMONTH(DATE(2024,LEFT(A204,LEN(A204)-1),1),0), '销售数据明细'!$C:$C, B204, '销售数据明细'!$D:$D, C204)</f>
      </c>
    </row>
    <row customHeight="true" ht="15" r="205">
      <c r="A205" s="21" t="s">
        <v>1427</v>
      </c>
      <c r="B205" s="21" t="s">
        <v>1428</v>
      </c>
      <c r="C205" s="21" t="s">
        <v>1429</v>
      </c>
      <c r="D205" s="22">
        <f>SUMIFS('销售数据明细'!$F:$F, '销售数据明细'!$B:$B, "&gt;="&amp;DATE(2024,LEFT(A205,LEN(A205)-1),1), '销售数据明细'!$B:$B, "&lt;="&amp;EOMONTH(DATE(2024,LEFT(A205,LEN(A205)-1),1),0), '销售数据明细'!$C:$C, B205, '销售数据明细'!$D:$D, C205)</f>
      </c>
      <c r="E205" s="23">
        <f>SUMIFS('销售数据明细'!$H:$H, '销售数据明细'!$B:$B, "&gt;="&amp;DATE(2024,LEFT(A205,LEN(A205)-1),1), '销售数据明细'!$B:$B, "&lt;="&amp;EOMONTH(DATE(2024,LEFT(A205,LEN(A205)-1),1),0), '销售数据明细'!$C:$C, B205, '销售数据明细'!$D:$D, C205)</f>
      </c>
      <c r="F205" s="23">
        <f>SUMIFS('销售数据明细'!$J:$J, '销售数据明细'!$B:$B, "&gt;="&amp;DATE(2024,LEFT(A205,LEN(A205)-1),1), '销售数据明细'!$B:$B, "&lt;="&amp;EOMONTH(DATE(2024,LEFT(A205,LEN(A205)-1),1),0), '销售数据明细'!$C:$C, B205, '销售数据明细'!$D:$D, C205)</f>
      </c>
    </row>
    <row customHeight="true" ht="15" r="206">
      <c r="A206" s="24" t="s">
        <v>1430</v>
      </c>
      <c r="B206" s="24" t="s">
        <v>1431</v>
      </c>
      <c r="C206" s="24" t="s">
        <v>1432</v>
      </c>
      <c r="D206" s="25">
        <f>SUMIFS('销售数据明细'!$F:$F, '销售数据明细'!$B:$B, "&gt;="&amp;DATE(2024,LEFT(A206,LEN(A206)-1),1), '销售数据明细'!$B:$B, "&lt;="&amp;EOMONTH(DATE(2024,LEFT(A206,LEN(A206)-1),1),0), '销售数据明细'!$C:$C, B206, '销售数据明细'!$D:$D, C206)</f>
      </c>
      <c r="E206" s="26">
        <f>SUMIFS('销售数据明细'!$H:$H, '销售数据明细'!$B:$B, "&gt;="&amp;DATE(2024,LEFT(A206,LEN(A206)-1),1), '销售数据明细'!$B:$B, "&lt;="&amp;EOMONTH(DATE(2024,LEFT(A206,LEN(A206)-1),1),0), '销售数据明细'!$C:$C, B206, '销售数据明细'!$D:$D, C206)</f>
      </c>
      <c r="F206" s="26">
        <f>SUMIFS('销售数据明细'!$J:$J, '销售数据明细'!$B:$B, "&gt;="&amp;DATE(2024,LEFT(A206,LEN(A206)-1),1), '销售数据明细'!$B:$B, "&lt;="&amp;EOMONTH(DATE(2024,LEFT(A206,LEN(A206)-1),1),0), '销售数据明细'!$C:$C, B206, '销售数据明细'!$D:$D, C206)</f>
      </c>
    </row>
    <row customHeight="true" ht="15" r="207">
      <c r="A207" s="21" t="s">
        <v>1433</v>
      </c>
      <c r="B207" s="21" t="s">
        <v>1434</v>
      </c>
      <c r="C207" s="21" t="s">
        <v>1435</v>
      </c>
      <c r="D207" s="22">
        <f>SUMIFS('销售数据明细'!$F:$F, '销售数据明细'!$B:$B, "&gt;="&amp;DATE(2024,LEFT(A207,LEN(A207)-1),1), '销售数据明细'!$B:$B, "&lt;="&amp;EOMONTH(DATE(2024,LEFT(A207,LEN(A207)-1),1),0), '销售数据明细'!$C:$C, B207, '销售数据明细'!$D:$D, C207)</f>
      </c>
      <c r="E207" s="23">
        <f>SUMIFS('销售数据明细'!$H:$H, '销售数据明细'!$B:$B, "&gt;="&amp;DATE(2024,LEFT(A207,LEN(A207)-1),1), '销售数据明细'!$B:$B, "&lt;="&amp;EOMONTH(DATE(2024,LEFT(A207,LEN(A207)-1),1),0), '销售数据明细'!$C:$C, B207, '销售数据明细'!$D:$D, C207)</f>
      </c>
      <c r="F207" s="23">
        <f>SUMIFS('销售数据明细'!$J:$J, '销售数据明细'!$B:$B, "&gt;="&amp;DATE(2024,LEFT(A207,LEN(A207)-1),1), '销售数据明细'!$B:$B, "&lt;="&amp;EOMONTH(DATE(2024,LEFT(A207,LEN(A207)-1),1),0), '销售数据明细'!$C:$C, B207, '销售数据明细'!$D:$D, C207)</f>
      </c>
    </row>
    <row customHeight="true" ht="15" r="208">
      <c r="A208" s="24" t="s">
        <v>1436</v>
      </c>
      <c r="B208" s="24" t="s">
        <v>1437</v>
      </c>
      <c r="C208" s="24" t="s">
        <v>1438</v>
      </c>
      <c r="D208" s="25">
        <f>SUMIFS('销售数据明细'!$F:$F, '销售数据明细'!$B:$B, "&gt;="&amp;DATE(2024,LEFT(A208,LEN(A208)-1),1), '销售数据明细'!$B:$B, "&lt;="&amp;EOMONTH(DATE(2024,LEFT(A208,LEN(A208)-1),1),0), '销售数据明细'!$C:$C, B208, '销售数据明细'!$D:$D, C208)</f>
      </c>
      <c r="E208" s="26">
        <f>SUMIFS('销售数据明细'!$H:$H, '销售数据明细'!$B:$B, "&gt;="&amp;DATE(2024,LEFT(A208,LEN(A208)-1),1), '销售数据明细'!$B:$B, "&lt;="&amp;EOMONTH(DATE(2024,LEFT(A208,LEN(A208)-1),1),0), '销售数据明细'!$C:$C, B208, '销售数据明细'!$D:$D, C208)</f>
      </c>
      <c r="F208" s="26">
        <f>SUMIFS('销售数据明细'!$J:$J, '销售数据明细'!$B:$B, "&gt;="&amp;DATE(2024,LEFT(A208,LEN(A208)-1),1), '销售数据明细'!$B:$B, "&lt;="&amp;EOMONTH(DATE(2024,LEFT(A208,LEN(A208)-1),1),0), '销售数据明细'!$C:$C, B208, '销售数据明细'!$D:$D, C208)</f>
      </c>
    </row>
    <row customHeight="true" ht="15" r="209">
      <c r="A209" s="21" t="s">
        <v>1439</v>
      </c>
      <c r="B209" s="21" t="s">
        <v>1440</v>
      </c>
      <c r="C209" s="21" t="s">
        <v>1441</v>
      </c>
      <c r="D209" s="22">
        <f>SUMIFS('销售数据明细'!$F:$F, '销售数据明细'!$B:$B, "&gt;="&amp;DATE(2024,LEFT(A209,LEN(A209)-1),1), '销售数据明细'!$B:$B, "&lt;="&amp;EOMONTH(DATE(2024,LEFT(A209,LEN(A209)-1),1),0), '销售数据明细'!$C:$C, B209, '销售数据明细'!$D:$D, C209)</f>
      </c>
      <c r="E209" s="23">
        <f>SUMIFS('销售数据明细'!$H:$H, '销售数据明细'!$B:$B, "&gt;="&amp;DATE(2024,LEFT(A209,LEN(A209)-1),1), '销售数据明细'!$B:$B, "&lt;="&amp;EOMONTH(DATE(2024,LEFT(A209,LEN(A209)-1),1),0), '销售数据明细'!$C:$C, B209, '销售数据明细'!$D:$D, C209)</f>
      </c>
      <c r="F209" s="23">
        <f>SUMIFS('销售数据明细'!$J:$J, '销售数据明细'!$B:$B, "&gt;="&amp;DATE(2024,LEFT(A209,LEN(A209)-1),1), '销售数据明细'!$B:$B, "&lt;="&amp;EOMONTH(DATE(2024,LEFT(A209,LEN(A209)-1),1),0), '销售数据明细'!$C:$C, B209, '销售数据明细'!$D:$D, C209)</f>
      </c>
    </row>
    <row customHeight="true" ht="15" r="210">
      <c r="A210" s="24" t="s">
        <v>1442</v>
      </c>
      <c r="B210" s="24" t="s">
        <v>1443</v>
      </c>
      <c r="C210" s="24" t="s">
        <v>1444</v>
      </c>
      <c r="D210" s="25">
        <f>SUMIFS('销售数据明细'!$F:$F, '销售数据明细'!$B:$B, "&gt;="&amp;DATE(2024,LEFT(A210,LEN(A210)-1),1), '销售数据明细'!$B:$B, "&lt;="&amp;EOMONTH(DATE(2024,LEFT(A210,LEN(A210)-1),1),0), '销售数据明细'!$C:$C, B210, '销售数据明细'!$D:$D, C210)</f>
      </c>
      <c r="E210" s="26">
        <f>SUMIFS('销售数据明细'!$H:$H, '销售数据明细'!$B:$B, "&gt;="&amp;DATE(2024,LEFT(A210,LEN(A210)-1),1), '销售数据明细'!$B:$B, "&lt;="&amp;EOMONTH(DATE(2024,LEFT(A210,LEN(A210)-1),1),0), '销售数据明细'!$C:$C, B210, '销售数据明细'!$D:$D, C210)</f>
      </c>
      <c r="F210" s="26">
        <f>SUMIFS('销售数据明细'!$J:$J, '销售数据明细'!$B:$B, "&gt;="&amp;DATE(2024,LEFT(A210,LEN(A210)-1),1), '销售数据明细'!$B:$B, "&lt;="&amp;EOMONTH(DATE(2024,LEFT(A210,LEN(A210)-1),1),0), '销售数据明细'!$C:$C, B210, '销售数据明细'!$D:$D, C210)</f>
      </c>
    </row>
    <row customHeight="true" ht="15" r="211">
      <c r="A211" s="21" t="s">
        <v>1445</v>
      </c>
      <c r="B211" s="21" t="s">
        <v>1446</v>
      </c>
      <c r="C211" s="21" t="s">
        <v>1447</v>
      </c>
      <c r="D211" s="22">
        <f>SUMIFS('销售数据明细'!$F:$F, '销售数据明细'!$B:$B, "&gt;="&amp;DATE(2024,LEFT(A211,LEN(A211)-1),1), '销售数据明细'!$B:$B, "&lt;="&amp;EOMONTH(DATE(2024,LEFT(A211,LEN(A211)-1),1),0), '销售数据明细'!$C:$C, B211, '销售数据明细'!$D:$D, C211)</f>
      </c>
      <c r="E211" s="23">
        <f>SUMIFS('销售数据明细'!$H:$H, '销售数据明细'!$B:$B, "&gt;="&amp;DATE(2024,LEFT(A211,LEN(A211)-1),1), '销售数据明细'!$B:$B, "&lt;="&amp;EOMONTH(DATE(2024,LEFT(A211,LEN(A211)-1),1),0), '销售数据明细'!$C:$C, B211, '销售数据明细'!$D:$D, C211)</f>
      </c>
      <c r="F211" s="23">
        <f>SUMIFS('销售数据明细'!$J:$J, '销售数据明细'!$B:$B, "&gt;="&amp;DATE(2024,LEFT(A211,LEN(A211)-1),1), '销售数据明细'!$B:$B, "&lt;="&amp;EOMONTH(DATE(2024,LEFT(A211,LEN(A211)-1),1),0), '销售数据明细'!$C:$C, B211, '销售数据明细'!$D:$D, C211)</f>
      </c>
    </row>
    <row customHeight="true" ht="15" r="212">
      <c r="A212" s="24" t="s">
        <v>1448</v>
      </c>
      <c r="B212" s="24" t="s">
        <v>1449</v>
      </c>
      <c r="C212" s="24" t="s">
        <v>1450</v>
      </c>
      <c r="D212" s="25">
        <f>SUMIFS('销售数据明细'!$F:$F, '销售数据明细'!$B:$B, "&gt;="&amp;DATE(2024,LEFT(A212,LEN(A212)-1),1), '销售数据明细'!$B:$B, "&lt;="&amp;EOMONTH(DATE(2024,LEFT(A212,LEN(A212)-1),1),0), '销售数据明细'!$C:$C, B212, '销售数据明细'!$D:$D, C212)</f>
      </c>
      <c r="E212" s="26">
        <f>SUMIFS('销售数据明细'!$H:$H, '销售数据明细'!$B:$B, "&gt;="&amp;DATE(2024,LEFT(A212,LEN(A212)-1),1), '销售数据明细'!$B:$B, "&lt;="&amp;EOMONTH(DATE(2024,LEFT(A212,LEN(A212)-1),1),0), '销售数据明细'!$C:$C, B212, '销售数据明细'!$D:$D, C212)</f>
      </c>
      <c r="F212" s="26">
        <f>SUMIFS('销售数据明细'!$J:$J, '销售数据明细'!$B:$B, "&gt;="&amp;DATE(2024,LEFT(A212,LEN(A212)-1),1), '销售数据明细'!$B:$B, "&lt;="&amp;EOMONTH(DATE(2024,LEFT(A212,LEN(A212)-1),1),0), '销售数据明细'!$C:$C, B212, '销售数据明细'!$D:$D, C212)</f>
      </c>
    </row>
    <row customHeight="true" ht="15" r="213">
      <c r="A213" s="21" t="s">
        <v>1451</v>
      </c>
      <c r="B213" s="21" t="s">
        <v>1452</v>
      </c>
      <c r="C213" s="21" t="s">
        <v>1453</v>
      </c>
      <c r="D213" s="22">
        <f>SUMIFS('销售数据明细'!$F:$F, '销售数据明细'!$B:$B, "&gt;="&amp;DATE(2024,LEFT(A213,LEN(A213)-1),1), '销售数据明细'!$B:$B, "&lt;="&amp;EOMONTH(DATE(2024,LEFT(A213,LEN(A213)-1),1),0), '销售数据明细'!$C:$C, B213, '销售数据明细'!$D:$D, C213)</f>
      </c>
      <c r="E213" s="23">
        <f>SUMIFS('销售数据明细'!$H:$H, '销售数据明细'!$B:$B, "&gt;="&amp;DATE(2024,LEFT(A213,LEN(A213)-1),1), '销售数据明细'!$B:$B, "&lt;="&amp;EOMONTH(DATE(2024,LEFT(A213,LEN(A213)-1),1),0), '销售数据明细'!$C:$C, B213, '销售数据明细'!$D:$D, C213)</f>
      </c>
      <c r="F213" s="23">
        <f>SUMIFS('销售数据明细'!$J:$J, '销售数据明细'!$B:$B, "&gt;="&amp;DATE(2024,LEFT(A213,LEN(A213)-1),1), '销售数据明细'!$B:$B, "&lt;="&amp;EOMONTH(DATE(2024,LEFT(A213,LEN(A213)-1),1),0), '销售数据明细'!$C:$C, B213, '销售数据明细'!$D:$D, C213)</f>
      </c>
    </row>
    <row customHeight="true" ht="15" r="214">
      <c r="A214" s="24" t="s">
        <v>1454</v>
      </c>
      <c r="B214" s="24" t="s">
        <v>1455</v>
      </c>
      <c r="C214" s="24" t="s">
        <v>1456</v>
      </c>
      <c r="D214" s="25">
        <f>SUMIFS('销售数据明细'!$F:$F, '销售数据明细'!$B:$B, "&gt;="&amp;DATE(2024,LEFT(A214,LEN(A214)-1),1), '销售数据明细'!$B:$B, "&lt;="&amp;EOMONTH(DATE(2024,LEFT(A214,LEN(A214)-1),1),0), '销售数据明细'!$C:$C, B214, '销售数据明细'!$D:$D, C214)</f>
      </c>
      <c r="E214" s="26">
        <f>SUMIFS('销售数据明细'!$H:$H, '销售数据明细'!$B:$B, "&gt;="&amp;DATE(2024,LEFT(A214,LEN(A214)-1),1), '销售数据明细'!$B:$B, "&lt;="&amp;EOMONTH(DATE(2024,LEFT(A214,LEN(A214)-1),1),0), '销售数据明细'!$C:$C, B214, '销售数据明细'!$D:$D, C214)</f>
      </c>
      <c r="F214" s="26">
        <f>SUMIFS('销售数据明细'!$J:$J, '销售数据明细'!$B:$B, "&gt;="&amp;DATE(2024,LEFT(A214,LEN(A214)-1),1), '销售数据明细'!$B:$B, "&lt;="&amp;EOMONTH(DATE(2024,LEFT(A214,LEN(A214)-1),1),0), '销售数据明细'!$C:$C, B214, '销售数据明细'!$D:$D, C214)</f>
      </c>
    </row>
    <row customHeight="true" ht="15" r="215">
      <c r="A215" s="21" t="s">
        <v>1457</v>
      </c>
      <c r="B215" s="21" t="s">
        <v>1458</v>
      </c>
      <c r="C215" s="21" t="s">
        <v>1459</v>
      </c>
      <c r="D215" s="22">
        <f>SUMIFS('销售数据明细'!$F:$F, '销售数据明细'!$B:$B, "&gt;="&amp;DATE(2024,LEFT(A215,LEN(A215)-1),1), '销售数据明细'!$B:$B, "&lt;="&amp;EOMONTH(DATE(2024,LEFT(A215,LEN(A215)-1),1),0), '销售数据明细'!$C:$C, B215, '销售数据明细'!$D:$D, C215)</f>
      </c>
      <c r="E215" s="23">
        <f>SUMIFS('销售数据明细'!$H:$H, '销售数据明细'!$B:$B, "&gt;="&amp;DATE(2024,LEFT(A215,LEN(A215)-1),1), '销售数据明细'!$B:$B, "&lt;="&amp;EOMONTH(DATE(2024,LEFT(A215,LEN(A215)-1),1),0), '销售数据明细'!$C:$C, B215, '销售数据明细'!$D:$D, C215)</f>
      </c>
      <c r="F215" s="23">
        <f>SUMIFS('销售数据明细'!$J:$J, '销售数据明细'!$B:$B, "&gt;="&amp;DATE(2024,LEFT(A215,LEN(A215)-1),1), '销售数据明细'!$B:$B, "&lt;="&amp;EOMONTH(DATE(2024,LEFT(A215,LEN(A215)-1),1),0), '销售数据明细'!$C:$C, B215, '销售数据明细'!$D:$D, C215)</f>
      </c>
    </row>
    <row customHeight="true" ht="15" r="216">
      <c r="A216" s="24" t="s">
        <v>1460</v>
      </c>
      <c r="B216" s="24" t="s">
        <v>1461</v>
      </c>
      <c r="C216" s="24" t="s">
        <v>1462</v>
      </c>
      <c r="D216" s="25">
        <f>SUMIFS('销售数据明细'!$F:$F, '销售数据明细'!$B:$B, "&gt;="&amp;DATE(2024,LEFT(A216,LEN(A216)-1),1), '销售数据明细'!$B:$B, "&lt;="&amp;EOMONTH(DATE(2024,LEFT(A216,LEN(A216)-1),1),0), '销售数据明细'!$C:$C, B216, '销售数据明细'!$D:$D, C216)</f>
      </c>
      <c r="E216" s="26">
        <f>SUMIFS('销售数据明细'!$H:$H, '销售数据明细'!$B:$B, "&gt;="&amp;DATE(2024,LEFT(A216,LEN(A216)-1),1), '销售数据明细'!$B:$B, "&lt;="&amp;EOMONTH(DATE(2024,LEFT(A216,LEN(A216)-1),1),0), '销售数据明细'!$C:$C, B216, '销售数据明细'!$D:$D, C216)</f>
      </c>
      <c r="F216" s="26">
        <f>SUMIFS('销售数据明细'!$J:$J, '销售数据明细'!$B:$B, "&gt;="&amp;DATE(2024,LEFT(A216,LEN(A216)-1),1), '销售数据明细'!$B:$B, "&lt;="&amp;EOMONTH(DATE(2024,LEFT(A216,LEN(A216)-1),1),0), '销售数据明细'!$C:$C, B216, '销售数据明细'!$D:$D, C216)</f>
      </c>
    </row>
    <row customHeight="true" ht="15" r="217">
      <c r="A217" s="21" t="s">
        <v>1463</v>
      </c>
      <c r="B217" s="21" t="s">
        <v>1464</v>
      </c>
      <c r="C217" s="21" t="s">
        <v>1465</v>
      </c>
      <c r="D217" s="22">
        <f>SUMIFS('销售数据明细'!$F:$F, '销售数据明细'!$B:$B, "&gt;="&amp;DATE(2024,LEFT(A217,LEN(A217)-1),1), '销售数据明细'!$B:$B, "&lt;="&amp;EOMONTH(DATE(2024,LEFT(A217,LEN(A217)-1),1),0), '销售数据明细'!$C:$C, B217, '销售数据明细'!$D:$D, C217)</f>
      </c>
      <c r="E217" s="23">
        <f>SUMIFS('销售数据明细'!$H:$H, '销售数据明细'!$B:$B, "&gt;="&amp;DATE(2024,LEFT(A217,LEN(A217)-1),1), '销售数据明细'!$B:$B, "&lt;="&amp;EOMONTH(DATE(2024,LEFT(A217,LEN(A217)-1),1),0), '销售数据明细'!$C:$C, B217, '销售数据明细'!$D:$D, C217)</f>
      </c>
      <c r="F217" s="23">
        <f>SUMIFS('销售数据明细'!$J:$J, '销售数据明细'!$B:$B, "&gt;="&amp;DATE(2024,LEFT(A217,LEN(A217)-1),1), '销售数据明细'!$B:$B, "&lt;="&amp;EOMONTH(DATE(2024,LEFT(A217,LEN(A217)-1),1),0), '销售数据明细'!$C:$C, B217, '销售数据明细'!$D:$D, C217)</f>
      </c>
    </row>
    <row customHeight="true" ht="15" r="218">
      <c r="A218" s="24" t="s">
        <v>1466</v>
      </c>
      <c r="B218" s="24" t="s">
        <v>1467</v>
      </c>
      <c r="C218" s="24" t="s">
        <v>1468</v>
      </c>
      <c r="D218" s="25">
        <f>SUMIFS('销售数据明细'!$F:$F, '销售数据明细'!$B:$B, "&gt;="&amp;DATE(2024,LEFT(A218,LEN(A218)-1),1), '销售数据明细'!$B:$B, "&lt;="&amp;EOMONTH(DATE(2024,LEFT(A218,LEN(A218)-1),1),0), '销售数据明细'!$C:$C, B218, '销售数据明细'!$D:$D, C218)</f>
      </c>
      <c r="E218" s="26">
        <f>SUMIFS('销售数据明细'!$H:$H, '销售数据明细'!$B:$B, "&gt;="&amp;DATE(2024,LEFT(A218,LEN(A218)-1),1), '销售数据明细'!$B:$B, "&lt;="&amp;EOMONTH(DATE(2024,LEFT(A218,LEN(A218)-1),1),0), '销售数据明细'!$C:$C, B218, '销售数据明细'!$D:$D, C218)</f>
      </c>
      <c r="F218" s="26">
        <f>SUMIFS('销售数据明细'!$J:$J, '销售数据明细'!$B:$B, "&gt;="&amp;DATE(2024,LEFT(A218,LEN(A218)-1),1), '销售数据明细'!$B:$B, "&lt;="&amp;EOMONTH(DATE(2024,LEFT(A218,LEN(A218)-1),1),0), '销售数据明细'!$C:$C, B218, '销售数据明细'!$D:$D, C218)</f>
      </c>
    </row>
    <row customHeight="true" ht="15" r="219">
      <c r="A219" s="21" t="s">
        <v>1469</v>
      </c>
      <c r="B219" s="21" t="s">
        <v>1470</v>
      </c>
      <c r="C219" s="21" t="s">
        <v>1471</v>
      </c>
      <c r="D219" s="22">
        <f>SUMIFS('销售数据明细'!$F:$F, '销售数据明细'!$B:$B, "&gt;="&amp;DATE(2024,LEFT(A219,LEN(A219)-1),1), '销售数据明细'!$B:$B, "&lt;="&amp;EOMONTH(DATE(2024,LEFT(A219,LEN(A219)-1),1),0), '销售数据明细'!$C:$C, B219, '销售数据明细'!$D:$D, C219)</f>
      </c>
      <c r="E219" s="23">
        <f>SUMIFS('销售数据明细'!$H:$H, '销售数据明细'!$B:$B, "&gt;="&amp;DATE(2024,LEFT(A219,LEN(A219)-1),1), '销售数据明细'!$B:$B, "&lt;="&amp;EOMONTH(DATE(2024,LEFT(A219,LEN(A219)-1),1),0), '销售数据明细'!$C:$C, B219, '销售数据明细'!$D:$D, C219)</f>
      </c>
      <c r="F219" s="23">
        <f>SUMIFS('销售数据明细'!$J:$J, '销售数据明细'!$B:$B, "&gt;="&amp;DATE(2024,LEFT(A219,LEN(A219)-1),1), '销售数据明细'!$B:$B, "&lt;="&amp;EOMONTH(DATE(2024,LEFT(A219,LEN(A219)-1),1),0), '销售数据明细'!$C:$C, B219, '销售数据明细'!$D:$D, C219)</f>
      </c>
    </row>
    <row customHeight="true" ht="15" r="220">
      <c r="A220" s="24" t="s">
        <v>1472</v>
      </c>
      <c r="B220" s="24" t="s">
        <v>1473</v>
      </c>
      <c r="C220" s="24" t="s">
        <v>1474</v>
      </c>
      <c r="D220" s="25">
        <f>SUMIFS('销售数据明细'!$F:$F, '销售数据明细'!$B:$B, "&gt;="&amp;DATE(2024,LEFT(A220,LEN(A220)-1),1), '销售数据明细'!$B:$B, "&lt;="&amp;EOMONTH(DATE(2024,LEFT(A220,LEN(A220)-1),1),0), '销售数据明细'!$C:$C, B220, '销售数据明细'!$D:$D, C220)</f>
      </c>
      <c r="E220" s="26">
        <f>SUMIFS('销售数据明细'!$H:$H, '销售数据明细'!$B:$B, "&gt;="&amp;DATE(2024,LEFT(A220,LEN(A220)-1),1), '销售数据明细'!$B:$B, "&lt;="&amp;EOMONTH(DATE(2024,LEFT(A220,LEN(A220)-1),1),0), '销售数据明细'!$C:$C, B220, '销售数据明细'!$D:$D, C220)</f>
      </c>
      <c r="F220" s="26">
        <f>SUMIFS('销售数据明细'!$J:$J, '销售数据明细'!$B:$B, "&gt;="&amp;DATE(2024,LEFT(A220,LEN(A220)-1),1), '销售数据明细'!$B:$B, "&lt;="&amp;EOMONTH(DATE(2024,LEFT(A220,LEN(A220)-1),1),0), '销售数据明细'!$C:$C, B220, '销售数据明细'!$D:$D, C220)</f>
      </c>
    </row>
    <row customHeight="true" ht="15" r="221">
      <c r="A221" s="21" t="s">
        <v>1475</v>
      </c>
      <c r="B221" s="21" t="s">
        <v>1476</v>
      </c>
      <c r="C221" s="21" t="s">
        <v>1477</v>
      </c>
      <c r="D221" s="22">
        <f>SUMIFS('销售数据明细'!$F:$F, '销售数据明细'!$B:$B, "&gt;="&amp;DATE(2024,LEFT(A221,LEN(A221)-1),1), '销售数据明细'!$B:$B, "&lt;="&amp;EOMONTH(DATE(2024,LEFT(A221,LEN(A221)-1),1),0), '销售数据明细'!$C:$C, B221, '销售数据明细'!$D:$D, C221)</f>
      </c>
      <c r="E221" s="23">
        <f>SUMIFS('销售数据明细'!$H:$H, '销售数据明细'!$B:$B, "&gt;="&amp;DATE(2024,LEFT(A221,LEN(A221)-1),1), '销售数据明细'!$B:$B, "&lt;="&amp;EOMONTH(DATE(2024,LEFT(A221,LEN(A221)-1),1),0), '销售数据明细'!$C:$C, B221, '销售数据明细'!$D:$D, C221)</f>
      </c>
      <c r="F221" s="23">
        <f>SUMIFS('销售数据明细'!$J:$J, '销售数据明细'!$B:$B, "&gt;="&amp;DATE(2024,LEFT(A221,LEN(A221)-1),1), '销售数据明细'!$B:$B, "&lt;="&amp;EOMONTH(DATE(2024,LEFT(A221,LEN(A221)-1),1),0), '销售数据明细'!$C:$C, B221, '销售数据明细'!$D:$D, C221)</f>
      </c>
    </row>
    <row customHeight="true" ht="15" r="222">
      <c r="A222" s="24" t="s">
        <v>1478</v>
      </c>
      <c r="B222" s="24" t="s">
        <v>1479</v>
      </c>
      <c r="C222" s="24" t="s">
        <v>1480</v>
      </c>
      <c r="D222" s="25">
        <f>SUMIFS('销售数据明细'!$F:$F, '销售数据明细'!$B:$B, "&gt;="&amp;DATE(2024,LEFT(A222,LEN(A222)-1),1), '销售数据明细'!$B:$B, "&lt;="&amp;EOMONTH(DATE(2024,LEFT(A222,LEN(A222)-1),1),0), '销售数据明细'!$C:$C, B222, '销售数据明细'!$D:$D, C222)</f>
      </c>
      <c r="E222" s="26">
        <f>SUMIFS('销售数据明细'!$H:$H, '销售数据明细'!$B:$B, "&gt;="&amp;DATE(2024,LEFT(A222,LEN(A222)-1),1), '销售数据明细'!$B:$B, "&lt;="&amp;EOMONTH(DATE(2024,LEFT(A222,LEN(A222)-1),1),0), '销售数据明细'!$C:$C, B222, '销售数据明细'!$D:$D, C222)</f>
      </c>
      <c r="F222" s="26">
        <f>SUMIFS('销售数据明细'!$J:$J, '销售数据明细'!$B:$B, "&gt;="&amp;DATE(2024,LEFT(A222,LEN(A222)-1),1), '销售数据明细'!$B:$B, "&lt;="&amp;EOMONTH(DATE(2024,LEFT(A222,LEN(A222)-1),1),0), '销售数据明细'!$C:$C, B222, '销售数据明细'!$D:$D, C222)</f>
      </c>
    </row>
    <row customHeight="true" ht="15" r="223">
      <c r="A223" s="21" t="s">
        <v>1481</v>
      </c>
      <c r="B223" s="21" t="s">
        <v>1482</v>
      </c>
      <c r="C223" s="21" t="s">
        <v>1483</v>
      </c>
      <c r="D223" s="22">
        <f>SUMIFS('销售数据明细'!$F:$F, '销售数据明细'!$B:$B, "&gt;="&amp;DATE(2024,LEFT(A223,LEN(A223)-1),1), '销售数据明细'!$B:$B, "&lt;="&amp;EOMONTH(DATE(2024,LEFT(A223,LEN(A223)-1),1),0), '销售数据明细'!$C:$C, B223, '销售数据明细'!$D:$D, C223)</f>
      </c>
      <c r="E223" s="23">
        <f>SUMIFS('销售数据明细'!$H:$H, '销售数据明细'!$B:$B, "&gt;="&amp;DATE(2024,LEFT(A223,LEN(A223)-1),1), '销售数据明细'!$B:$B, "&lt;="&amp;EOMONTH(DATE(2024,LEFT(A223,LEN(A223)-1),1),0), '销售数据明细'!$C:$C, B223, '销售数据明细'!$D:$D, C223)</f>
      </c>
      <c r="F223" s="23">
        <f>SUMIFS('销售数据明细'!$J:$J, '销售数据明细'!$B:$B, "&gt;="&amp;DATE(2024,LEFT(A223,LEN(A223)-1),1), '销售数据明细'!$B:$B, "&lt;="&amp;EOMONTH(DATE(2024,LEFT(A223,LEN(A223)-1),1),0), '销售数据明细'!$C:$C, B223, '销售数据明细'!$D:$D, C223)</f>
      </c>
    </row>
    <row customHeight="true" ht="15" r="224">
      <c r="A224" s="24" t="s">
        <v>1484</v>
      </c>
      <c r="B224" s="24" t="s">
        <v>1485</v>
      </c>
      <c r="C224" s="24" t="s">
        <v>1486</v>
      </c>
      <c r="D224" s="25">
        <f>SUMIFS('销售数据明细'!$F:$F, '销售数据明细'!$B:$B, "&gt;="&amp;DATE(2024,LEFT(A224,LEN(A224)-1),1), '销售数据明细'!$B:$B, "&lt;="&amp;EOMONTH(DATE(2024,LEFT(A224,LEN(A224)-1),1),0), '销售数据明细'!$C:$C, B224, '销售数据明细'!$D:$D, C224)</f>
      </c>
      <c r="E224" s="26">
        <f>SUMIFS('销售数据明细'!$H:$H, '销售数据明细'!$B:$B, "&gt;="&amp;DATE(2024,LEFT(A224,LEN(A224)-1),1), '销售数据明细'!$B:$B, "&lt;="&amp;EOMONTH(DATE(2024,LEFT(A224,LEN(A224)-1),1),0), '销售数据明细'!$C:$C, B224, '销售数据明细'!$D:$D, C224)</f>
      </c>
      <c r="F224" s="26">
        <f>SUMIFS('销售数据明细'!$J:$J, '销售数据明细'!$B:$B, "&gt;="&amp;DATE(2024,LEFT(A224,LEN(A224)-1),1), '销售数据明细'!$B:$B, "&lt;="&amp;EOMONTH(DATE(2024,LEFT(A224,LEN(A224)-1),1),0), '销售数据明细'!$C:$C, B224, '销售数据明细'!$D:$D, C224)</f>
      </c>
    </row>
    <row customHeight="true" ht="15" r="225">
      <c r="A225" s="21" t="s">
        <v>1487</v>
      </c>
      <c r="B225" s="21" t="s">
        <v>1488</v>
      </c>
      <c r="C225" s="21" t="s">
        <v>1489</v>
      </c>
      <c r="D225" s="22">
        <f>SUMIFS('销售数据明细'!$F:$F, '销售数据明细'!$B:$B, "&gt;="&amp;DATE(2024,LEFT(A225,LEN(A225)-1),1), '销售数据明细'!$B:$B, "&lt;="&amp;EOMONTH(DATE(2024,LEFT(A225,LEN(A225)-1),1),0), '销售数据明细'!$C:$C, B225, '销售数据明细'!$D:$D, C225)</f>
      </c>
      <c r="E225" s="23">
        <f>SUMIFS('销售数据明细'!$H:$H, '销售数据明细'!$B:$B, "&gt;="&amp;DATE(2024,LEFT(A225,LEN(A225)-1),1), '销售数据明细'!$B:$B, "&lt;="&amp;EOMONTH(DATE(2024,LEFT(A225,LEN(A225)-1),1),0), '销售数据明细'!$C:$C, B225, '销售数据明细'!$D:$D, C225)</f>
      </c>
      <c r="F225" s="23">
        <f>SUMIFS('销售数据明细'!$J:$J, '销售数据明细'!$B:$B, "&gt;="&amp;DATE(2024,LEFT(A225,LEN(A225)-1),1), '销售数据明细'!$B:$B, "&lt;="&amp;EOMONTH(DATE(2024,LEFT(A225,LEN(A225)-1),1),0), '销售数据明细'!$C:$C, B225, '销售数据明细'!$D:$D, C225)</f>
      </c>
    </row>
    <row customHeight="true" ht="15" r="226">
      <c r="A226" s="24" t="s">
        <v>1490</v>
      </c>
      <c r="B226" s="24" t="s">
        <v>1491</v>
      </c>
      <c r="C226" s="24" t="s">
        <v>1492</v>
      </c>
      <c r="D226" s="25">
        <f>SUMIFS('销售数据明细'!$F:$F, '销售数据明细'!$B:$B, "&gt;="&amp;DATE(2024,LEFT(A226,LEN(A226)-1),1), '销售数据明细'!$B:$B, "&lt;="&amp;EOMONTH(DATE(2024,LEFT(A226,LEN(A226)-1),1),0), '销售数据明细'!$C:$C, B226, '销售数据明细'!$D:$D, C226)</f>
      </c>
      <c r="E226" s="26">
        <f>SUMIFS('销售数据明细'!$H:$H, '销售数据明细'!$B:$B, "&gt;="&amp;DATE(2024,LEFT(A226,LEN(A226)-1),1), '销售数据明细'!$B:$B, "&lt;="&amp;EOMONTH(DATE(2024,LEFT(A226,LEN(A226)-1),1),0), '销售数据明细'!$C:$C, B226, '销售数据明细'!$D:$D, C226)</f>
      </c>
      <c r="F226" s="26">
        <f>SUMIFS('销售数据明细'!$J:$J, '销售数据明细'!$B:$B, "&gt;="&amp;DATE(2024,LEFT(A226,LEN(A226)-1),1), '销售数据明细'!$B:$B, "&lt;="&amp;EOMONTH(DATE(2024,LEFT(A226,LEN(A226)-1),1),0), '销售数据明细'!$C:$C, B226, '销售数据明细'!$D:$D, C226)</f>
      </c>
    </row>
    <row customHeight="true" ht="15" r="227">
      <c r="A227" s="21" t="s">
        <v>1493</v>
      </c>
      <c r="B227" s="21" t="s">
        <v>1494</v>
      </c>
      <c r="C227" s="21" t="s">
        <v>1495</v>
      </c>
      <c r="D227" s="22">
        <f>SUMIFS('销售数据明细'!$F:$F, '销售数据明细'!$B:$B, "&gt;="&amp;DATE(2024,LEFT(A227,LEN(A227)-1),1), '销售数据明细'!$B:$B, "&lt;="&amp;EOMONTH(DATE(2024,LEFT(A227,LEN(A227)-1),1),0), '销售数据明细'!$C:$C, B227, '销售数据明细'!$D:$D, C227)</f>
      </c>
      <c r="E227" s="23">
        <f>SUMIFS('销售数据明细'!$H:$H, '销售数据明细'!$B:$B, "&gt;="&amp;DATE(2024,LEFT(A227,LEN(A227)-1),1), '销售数据明细'!$B:$B, "&lt;="&amp;EOMONTH(DATE(2024,LEFT(A227,LEN(A227)-1),1),0), '销售数据明细'!$C:$C, B227, '销售数据明细'!$D:$D, C227)</f>
      </c>
      <c r="F227" s="23">
        <f>SUMIFS('销售数据明细'!$J:$J, '销售数据明细'!$B:$B, "&gt;="&amp;DATE(2024,LEFT(A227,LEN(A227)-1),1), '销售数据明细'!$B:$B, "&lt;="&amp;EOMONTH(DATE(2024,LEFT(A227,LEN(A227)-1),1),0), '销售数据明细'!$C:$C, B227, '销售数据明细'!$D:$D, C227)</f>
      </c>
    </row>
    <row customHeight="true" ht="15" r="228">
      <c r="A228" s="24" t="s">
        <v>1496</v>
      </c>
      <c r="B228" s="24" t="s">
        <v>1497</v>
      </c>
      <c r="C228" s="24" t="s">
        <v>1498</v>
      </c>
      <c r="D228" s="25">
        <f>SUMIFS('销售数据明细'!$F:$F, '销售数据明细'!$B:$B, "&gt;="&amp;DATE(2024,LEFT(A228,LEN(A228)-1),1), '销售数据明细'!$B:$B, "&lt;="&amp;EOMONTH(DATE(2024,LEFT(A228,LEN(A228)-1),1),0), '销售数据明细'!$C:$C, B228, '销售数据明细'!$D:$D, C228)</f>
      </c>
      <c r="E228" s="26">
        <f>SUMIFS('销售数据明细'!$H:$H, '销售数据明细'!$B:$B, "&gt;="&amp;DATE(2024,LEFT(A228,LEN(A228)-1),1), '销售数据明细'!$B:$B, "&lt;="&amp;EOMONTH(DATE(2024,LEFT(A228,LEN(A228)-1),1),0), '销售数据明细'!$C:$C, B228, '销售数据明细'!$D:$D, C228)</f>
      </c>
      <c r="F228" s="26">
        <f>SUMIFS('销售数据明细'!$J:$J, '销售数据明细'!$B:$B, "&gt;="&amp;DATE(2024,LEFT(A228,LEN(A228)-1),1), '销售数据明细'!$B:$B, "&lt;="&amp;EOMONTH(DATE(2024,LEFT(A228,LEN(A228)-1),1),0), '销售数据明细'!$C:$C, B228, '销售数据明细'!$D:$D, C228)</f>
      </c>
    </row>
    <row customHeight="true" ht="15" r="229">
      <c r="A229" s="21" t="s">
        <v>1499</v>
      </c>
      <c r="B229" s="21" t="s">
        <v>1500</v>
      </c>
      <c r="C229" s="21" t="s">
        <v>1501</v>
      </c>
      <c r="D229" s="22">
        <f>SUMIFS('销售数据明细'!$F:$F, '销售数据明细'!$B:$B, "&gt;="&amp;DATE(2024,LEFT(A229,LEN(A229)-1),1), '销售数据明细'!$B:$B, "&lt;="&amp;EOMONTH(DATE(2024,LEFT(A229,LEN(A229)-1),1),0), '销售数据明细'!$C:$C, B229, '销售数据明细'!$D:$D, C229)</f>
      </c>
      <c r="E229" s="23">
        <f>SUMIFS('销售数据明细'!$H:$H, '销售数据明细'!$B:$B, "&gt;="&amp;DATE(2024,LEFT(A229,LEN(A229)-1),1), '销售数据明细'!$B:$B, "&lt;="&amp;EOMONTH(DATE(2024,LEFT(A229,LEN(A229)-1),1),0), '销售数据明细'!$C:$C, B229, '销售数据明细'!$D:$D, C229)</f>
      </c>
      <c r="F229" s="23">
        <f>SUMIFS('销售数据明细'!$J:$J, '销售数据明细'!$B:$B, "&gt;="&amp;DATE(2024,LEFT(A229,LEN(A229)-1),1), '销售数据明细'!$B:$B, "&lt;="&amp;EOMONTH(DATE(2024,LEFT(A229,LEN(A229)-1),1),0), '销售数据明细'!$C:$C, B229, '销售数据明细'!$D:$D, C229)</f>
      </c>
    </row>
    <row customHeight="true" ht="15" r="230">
      <c r="A230" s="24" t="s">
        <v>1502</v>
      </c>
      <c r="B230" s="24" t="s">
        <v>1503</v>
      </c>
      <c r="C230" s="24" t="s">
        <v>1504</v>
      </c>
      <c r="D230" s="25">
        <f>SUMIFS('销售数据明细'!$F:$F, '销售数据明细'!$B:$B, "&gt;="&amp;DATE(2024,LEFT(A230,LEN(A230)-1),1), '销售数据明细'!$B:$B, "&lt;="&amp;EOMONTH(DATE(2024,LEFT(A230,LEN(A230)-1),1),0), '销售数据明细'!$C:$C, B230, '销售数据明细'!$D:$D, C230)</f>
      </c>
      <c r="E230" s="26">
        <f>SUMIFS('销售数据明细'!$H:$H, '销售数据明细'!$B:$B, "&gt;="&amp;DATE(2024,LEFT(A230,LEN(A230)-1),1), '销售数据明细'!$B:$B, "&lt;="&amp;EOMONTH(DATE(2024,LEFT(A230,LEN(A230)-1),1),0), '销售数据明细'!$C:$C, B230, '销售数据明细'!$D:$D, C230)</f>
      </c>
      <c r="F230" s="26">
        <f>SUMIFS('销售数据明细'!$J:$J, '销售数据明细'!$B:$B, "&gt;="&amp;DATE(2024,LEFT(A230,LEN(A230)-1),1), '销售数据明细'!$B:$B, "&lt;="&amp;EOMONTH(DATE(2024,LEFT(A230,LEN(A230)-1),1),0), '销售数据明细'!$C:$C, B230, '销售数据明细'!$D:$D, C230)</f>
      </c>
    </row>
    <row customHeight="true" ht="15" r="231">
      <c r="A231" s="21" t="s">
        <v>1505</v>
      </c>
      <c r="B231" s="21" t="s">
        <v>1506</v>
      </c>
      <c r="C231" s="21" t="s">
        <v>1507</v>
      </c>
      <c r="D231" s="22">
        <f>SUMIFS('销售数据明细'!$F:$F, '销售数据明细'!$B:$B, "&gt;="&amp;DATE(2024,LEFT(A231,LEN(A231)-1),1), '销售数据明细'!$B:$B, "&lt;="&amp;EOMONTH(DATE(2024,LEFT(A231,LEN(A231)-1),1),0), '销售数据明细'!$C:$C, B231, '销售数据明细'!$D:$D, C231)</f>
      </c>
      <c r="E231" s="23">
        <f>SUMIFS('销售数据明细'!$H:$H, '销售数据明细'!$B:$B, "&gt;="&amp;DATE(2024,LEFT(A231,LEN(A231)-1),1), '销售数据明细'!$B:$B, "&lt;="&amp;EOMONTH(DATE(2024,LEFT(A231,LEN(A231)-1),1),0), '销售数据明细'!$C:$C, B231, '销售数据明细'!$D:$D, C231)</f>
      </c>
      <c r="F231" s="23">
        <f>SUMIFS('销售数据明细'!$J:$J, '销售数据明细'!$B:$B, "&gt;="&amp;DATE(2024,LEFT(A231,LEN(A231)-1),1), '销售数据明细'!$B:$B, "&lt;="&amp;EOMONTH(DATE(2024,LEFT(A231,LEN(A231)-1),1),0), '销售数据明细'!$C:$C, B231, '销售数据明细'!$D:$D, C231)</f>
      </c>
    </row>
    <row customHeight="true" ht="15" r="232">
      <c r="A232" s="24" t="s">
        <v>1508</v>
      </c>
      <c r="B232" s="24" t="s">
        <v>1509</v>
      </c>
      <c r="C232" s="24" t="s">
        <v>1510</v>
      </c>
      <c r="D232" s="25">
        <f>SUMIFS('销售数据明细'!$F:$F, '销售数据明细'!$B:$B, "&gt;="&amp;DATE(2024,LEFT(A232,LEN(A232)-1),1), '销售数据明细'!$B:$B, "&lt;="&amp;EOMONTH(DATE(2024,LEFT(A232,LEN(A232)-1),1),0), '销售数据明细'!$C:$C, B232, '销售数据明细'!$D:$D, C232)</f>
      </c>
      <c r="E232" s="26">
        <f>SUMIFS('销售数据明细'!$H:$H, '销售数据明细'!$B:$B, "&gt;="&amp;DATE(2024,LEFT(A232,LEN(A232)-1),1), '销售数据明细'!$B:$B, "&lt;="&amp;EOMONTH(DATE(2024,LEFT(A232,LEN(A232)-1),1),0), '销售数据明细'!$C:$C, B232, '销售数据明细'!$D:$D, C232)</f>
      </c>
      <c r="F232" s="26">
        <f>SUMIFS('销售数据明细'!$J:$J, '销售数据明细'!$B:$B, "&gt;="&amp;DATE(2024,LEFT(A232,LEN(A232)-1),1), '销售数据明细'!$B:$B, "&lt;="&amp;EOMONTH(DATE(2024,LEFT(A232,LEN(A232)-1),1),0), '销售数据明细'!$C:$C, B232, '销售数据明细'!$D:$D, C232)</f>
      </c>
    </row>
    <row customHeight="true" ht="15" r="233">
      <c r="A233" s="21" t="s">
        <v>1511</v>
      </c>
      <c r="B233" s="21" t="s">
        <v>1512</v>
      </c>
      <c r="C233" s="21" t="s">
        <v>1513</v>
      </c>
      <c r="D233" s="22">
        <f>SUMIFS('销售数据明细'!$F:$F, '销售数据明细'!$B:$B, "&gt;="&amp;DATE(2024,LEFT(A233,LEN(A233)-1),1), '销售数据明细'!$B:$B, "&lt;="&amp;EOMONTH(DATE(2024,LEFT(A233,LEN(A233)-1),1),0), '销售数据明细'!$C:$C, B233, '销售数据明细'!$D:$D, C233)</f>
      </c>
      <c r="E233" s="23">
        <f>SUMIFS('销售数据明细'!$H:$H, '销售数据明细'!$B:$B, "&gt;="&amp;DATE(2024,LEFT(A233,LEN(A233)-1),1), '销售数据明细'!$B:$B, "&lt;="&amp;EOMONTH(DATE(2024,LEFT(A233,LEN(A233)-1),1),0), '销售数据明细'!$C:$C, B233, '销售数据明细'!$D:$D, C233)</f>
      </c>
      <c r="F233" s="23">
        <f>SUMIFS('销售数据明细'!$J:$J, '销售数据明细'!$B:$B, "&gt;="&amp;DATE(2024,LEFT(A233,LEN(A233)-1),1), '销售数据明细'!$B:$B, "&lt;="&amp;EOMONTH(DATE(2024,LEFT(A233,LEN(A233)-1),1),0), '销售数据明细'!$C:$C, B233, '销售数据明细'!$D:$D, C233)</f>
      </c>
    </row>
    <row customHeight="true" ht="15" r="234">
      <c r="A234" s="24" t="s">
        <v>1514</v>
      </c>
      <c r="B234" s="24" t="s">
        <v>1515</v>
      </c>
      <c r="C234" s="24" t="s">
        <v>1516</v>
      </c>
      <c r="D234" s="25">
        <f>SUMIFS('销售数据明细'!$F:$F, '销售数据明细'!$B:$B, "&gt;="&amp;DATE(2024,LEFT(A234,LEN(A234)-1),1), '销售数据明细'!$B:$B, "&lt;="&amp;EOMONTH(DATE(2024,LEFT(A234,LEN(A234)-1),1),0), '销售数据明细'!$C:$C, B234, '销售数据明细'!$D:$D, C234)</f>
      </c>
      <c r="E234" s="26">
        <f>SUMIFS('销售数据明细'!$H:$H, '销售数据明细'!$B:$B, "&gt;="&amp;DATE(2024,LEFT(A234,LEN(A234)-1),1), '销售数据明细'!$B:$B, "&lt;="&amp;EOMONTH(DATE(2024,LEFT(A234,LEN(A234)-1),1),0), '销售数据明细'!$C:$C, B234, '销售数据明细'!$D:$D, C234)</f>
      </c>
      <c r="F234" s="26">
        <f>SUMIFS('销售数据明细'!$J:$J, '销售数据明细'!$B:$B, "&gt;="&amp;DATE(2024,LEFT(A234,LEN(A234)-1),1), '销售数据明细'!$B:$B, "&lt;="&amp;EOMONTH(DATE(2024,LEFT(A234,LEN(A234)-1),1),0), '销售数据明细'!$C:$C, B234, '销售数据明细'!$D:$D, C234)</f>
      </c>
    </row>
    <row customHeight="true" ht="15" r="235">
      <c r="A235" s="21" t="s">
        <v>1517</v>
      </c>
      <c r="B235" s="21" t="s">
        <v>1518</v>
      </c>
      <c r="C235" s="21" t="s">
        <v>1519</v>
      </c>
      <c r="D235" s="22">
        <f>SUMIFS('销售数据明细'!$F:$F, '销售数据明细'!$B:$B, "&gt;="&amp;DATE(2024,LEFT(A235,LEN(A235)-1),1), '销售数据明细'!$B:$B, "&lt;="&amp;EOMONTH(DATE(2024,LEFT(A235,LEN(A235)-1),1),0), '销售数据明细'!$C:$C, B235, '销售数据明细'!$D:$D, C235)</f>
      </c>
      <c r="E235" s="23">
        <f>SUMIFS('销售数据明细'!$H:$H, '销售数据明细'!$B:$B, "&gt;="&amp;DATE(2024,LEFT(A235,LEN(A235)-1),1), '销售数据明细'!$B:$B, "&lt;="&amp;EOMONTH(DATE(2024,LEFT(A235,LEN(A235)-1),1),0), '销售数据明细'!$C:$C, B235, '销售数据明细'!$D:$D, C235)</f>
      </c>
      <c r="F235" s="23">
        <f>SUMIFS('销售数据明细'!$J:$J, '销售数据明细'!$B:$B, "&gt;="&amp;DATE(2024,LEFT(A235,LEN(A235)-1),1), '销售数据明细'!$B:$B, "&lt;="&amp;EOMONTH(DATE(2024,LEFT(A235,LEN(A235)-1),1),0), '销售数据明细'!$C:$C, B235, '销售数据明细'!$D:$D, C235)</f>
      </c>
    </row>
    <row customHeight="true" ht="15" r="236">
      <c r="A236" s="24" t="s">
        <v>1520</v>
      </c>
      <c r="B236" s="24" t="s">
        <v>1521</v>
      </c>
      <c r="C236" s="24" t="s">
        <v>1522</v>
      </c>
      <c r="D236" s="25">
        <f>SUMIFS('销售数据明细'!$F:$F, '销售数据明细'!$B:$B, "&gt;="&amp;DATE(2024,LEFT(A236,LEN(A236)-1),1), '销售数据明细'!$B:$B, "&lt;="&amp;EOMONTH(DATE(2024,LEFT(A236,LEN(A236)-1),1),0), '销售数据明细'!$C:$C, B236, '销售数据明细'!$D:$D, C236)</f>
      </c>
      <c r="E236" s="26">
        <f>SUMIFS('销售数据明细'!$H:$H, '销售数据明细'!$B:$B, "&gt;="&amp;DATE(2024,LEFT(A236,LEN(A236)-1),1), '销售数据明细'!$B:$B, "&lt;="&amp;EOMONTH(DATE(2024,LEFT(A236,LEN(A236)-1),1),0), '销售数据明细'!$C:$C, B236, '销售数据明细'!$D:$D, C236)</f>
      </c>
      <c r="F236" s="26">
        <f>SUMIFS('销售数据明细'!$J:$J, '销售数据明细'!$B:$B, "&gt;="&amp;DATE(2024,LEFT(A236,LEN(A236)-1),1), '销售数据明细'!$B:$B, "&lt;="&amp;EOMONTH(DATE(2024,LEFT(A236,LEN(A236)-1),1),0), '销售数据明细'!$C:$C, B236, '销售数据明细'!$D:$D, C236)</f>
      </c>
    </row>
    <row customHeight="true" ht="15" r="237">
      <c r="A237" s="21" t="s">
        <v>1523</v>
      </c>
      <c r="B237" s="21" t="s">
        <v>1524</v>
      </c>
      <c r="C237" s="21" t="s">
        <v>1525</v>
      </c>
      <c r="D237" s="22">
        <f>SUMIFS('销售数据明细'!$F:$F, '销售数据明细'!$B:$B, "&gt;="&amp;DATE(2024,LEFT(A237,LEN(A237)-1),1), '销售数据明细'!$B:$B, "&lt;="&amp;EOMONTH(DATE(2024,LEFT(A237,LEN(A237)-1),1),0), '销售数据明细'!$C:$C, B237, '销售数据明细'!$D:$D, C237)</f>
      </c>
      <c r="E237" s="23">
        <f>SUMIFS('销售数据明细'!$H:$H, '销售数据明细'!$B:$B, "&gt;="&amp;DATE(2024,LEFT(A237,LEN(A237)-1),1), '销售数据明细'!$B:$B, "&lt;="&amp;EOMONTH(DATE(2024,LEFT(A237,LEN(A237)-1),1),0), '销售数据明细'!$C:$C, B237, '销售数据明细'!$D:$D, C237)</f>
      </c>
      <c r="F237" s="23">
        <f>SUMIFS('销售数据明细'!$J:$J, '销售数据明细'!$B:$B, "&gt;="&amp;DATE(2024,LEFT(A237,LEN(A237)-1),1), '销售数据明细'!$B:$B, "&lt;="&amp;EOMONTH(DATE(2024,LEFT(A237,LEN(A237)-1),1),0), '销售数据明细'!$C:$C, B237, '销售数据明细'!$D:$D, C237)</f>
      </c>
    </row>
    <row customHeight="true" ht="15" r="238">
      <c r="A238" s="24" t="s">
        <v>1526</v>
      </c>
      <c r="B238" s="24" t="s">
        <v>1527</v>
      </c>
      <c r="C238" s="24" t="s">
        <v>1528</v>
      </c>
      <c r="D238" s="25">
        <f>SUMIFS('销售数据明细'!$F:$F, '销售数据明细'!$B:$B, "&gt;="&amp;DATE(2024,LEFT(A238,LEN(A238)-1),1), '销售数据明细'!$B:$B, "&lt;="&amp;EOMONTH(DATE(2024,LEFT(A238,LEN(A238)-1),1),0), '销售数据明细'!$C:$C, B238, '销售数据明细'!$D:$D, C238)</f>
      </c>
      <c r="E238" s="26">
        <f>SUMIFS('销售数据明细'!$H:$H, '销售数据明细'!$B:$B, "&gt;="&amp;DATE(2024,LEFT(A238,LEN(A238)-1),1), '销售数据明细'!$B:$B, "&lt;="&amp;EOMONTH(DATE(2024,LEFT(A238,LEN(A238)-1),1),0), '销售数据明细'!$C:$C, B238, '销售数据明细'!$D:$D, C238)</f>
      </c>
      <c r="F238" s="26">
        <f>SUMIFS('销售数据明细'!$J:$J, '销售数据明细'!$B:$B, "&gt;="&amp;DATE(2024,LEFT(A238,LEN(A238)-1),1), '销售数据明细'!$B:$B, "&lt;="&amp;EOMONTH(DATE(2024,LEFT(A238,LEN(A238)-1),1),0), '销售数据明细'!$C:$C, B238, '销售数据明细'!$D:$D, C238)</f>
      </c>
    </row>
    <row customHeight="true" ht="15" r="239">
      <c r="A239" s="21" t="s">
        <v>1529</v>
      </c>
      <c r="B239" s="21" t="s">
        <v>1530</v>
      </c>
      <c r="C239" s="21" t="s">
        <v>1531</v>
      </c>
      <c r="D239" s="22">
        <f>SUMIFS('销售数据明细'!$F:$F, '销售数据明细'!$B:$B, "&gt;="&amp;DATE(2024,LEFT(A239,LEN(A239)-1),1), '销售数据明细'!$B:$B, "&lt;="&amp;EOMONTH(DATE(2024,LEFT(A239,LEN(A239)-1),1),0), '销售数据明细'!$C:$C, B239, '销售数据明细'!$D:$D, C239)</f>
      </c>
      <c r="E239" s="23">
        <f>SUMIFS('销售数据明细'!$H:$H, '销售数据明细'!$B:$B, "&gt;="&amp;DATE(2024,LEFT(A239,LEN(A239)-1),1), '销售数据明细'!$B:$B, "&lt;="&amp;EOMONTH(DATE(2024,LEFT(A239,LEN(A239)-1),1),0), '销售数据明细'!$C:$C, B239, '销售数据明细'!$D:$D, C239)</f>
      </c>
      <c r="F239" s="23">
        <f>SUMIFS('销售数据明细'!$J:$J, '销售数据明细'!$B:$B, "&gt;="&amp;DATE(2024,LEFT(A239,LEN(A239)-1),1), '销售数据明细'!$B:$B, "&lt;="&amp;EOMONTH(DATE(2024,LEFT(A239,LEN(A239)-1),1),0), '销售数据明细'!$C:$C, B239, '销售数据明细'!$D:$D, C239)</f>
      </c>
    </row>
    <row customHeight="true" ht="15" r="240">
      <c r="A240" s="24" t="s">
        <v>1532</v>
      </c>
      <c r="B240" s="24" t="s">
        <v>1533</v>
      </c>
      <c r="C240" s="24" t="s">
        <v>1534</v>
      </c>
      <c r="D240" s="25">
        <f>SUMIFS('销售数据明细'!$F:$F, '销售数据明细'!$B:$B, "&gt;="&amp;DATE(2024,LEFT(A240,LEN(A240)-1),1), '销售数据明细'!$B:$B, "&lt;="&amp;EOMONTH(DATE(2024,LEFT(A240,LEN(A240)-1),1),0), '销售数据明细'!$C:$C, B240, '销售数据明细'!$D:$D, C240)</f>
      </c>
      <c r="E240" s="26">
        <f>SUMIFS('销售数据明细'!$H:$H, '销售数据明细'!$B:$B, "&gt;="&amp;DATE(2024,LEFT(A240,LEN(A240)-1),1), '销售数据明细'!$B:$B, "&lt;="&amp;EOMONTH(DATE(2024,LEFT(A240,LEN(A240)-1),1),0), '销售数据明细'!$C:$C, B240, '销售数据明细'!$D:$D, C240)</f>
      </c>
      <c r="F240" s="26">
        <f>SUMIFS('销售数据明细'!$J:$J, '销售数据明细'!$B:$B, "&gt;="&amp;DATE(2024,LEFT(A240,LEN(A240)-1),1), '销售数据明细'!$B:$B, "&lt;="&amp;EOMONTH(DATE(2024,LEFT(A240,LEN(A240)-1),1),0), '销售数据明细'!$C:$C, B240, '销售数据明细'!$D:$D, C240)</f>
      </c>
    </row>
    <row customHeight="true" ht="15" r="241">
      <c r="A241" s="21" t="s">
        <v>1535</v>
      </c>
      <c r="B241" s="21" t="s">
        <v>1536</v>
      </c>
      <c r="C241" s="21" t="s">
        <v>1537</v>
      </c>
      <c r="D241" s="22">
        <f>SUMIFS('销售数据明细'!$F:$F, '销售数据明细'!$B:$B, "&gt;="&amp;DATE(2024,LEFT(A241,LEN(A241)-1),1), '销售数据明细'!$B:$B, "&lt;="&amp;EOMONTH(DATE(2024,LEFT(A241,LEN(A241)-1),1),0), '销售数据明细'!$C:$C, B241, '销售数据明细'!$D:$D, C241)</f>
      </c>
      <c r="E241" s="23">
        <f>SUMIFS('销售数据明细'!$H:$H, '销售数据明细'!$B:$B, "&gt;="&amp;DATE(2024,LEFT(A241,LEN(A241)-1),1), '销售数据明细'!$B:$B, "&lt;="&amp;EOMONTH(DATE(2024,LEFT(A241,LEN(A241)-1),1),0), '销售数据明细'!$C:$C, B241, '销售数据明细'!$D:$D, C241)</f>
      </c>
      <c r="F241" s="23">
        <f>SUMIFS('销售数据明细'!$J:$J, '销售数据明细'!$B:$B, "&gt;="&amp;DATE(2024,LEFT(A241,LEN(A241)-1),1), '销售数据明细'!$B:$B, "&lt;="&amp;EOMONTH(DATE(2024,LEFT(A241,LEN(A241)-1),1),0), '销售数据明细'!$C:$C, B241, '销售数据明细'!$D:$D, C241)</f>
      </c>
    </row>
    <row customHeight="true" ht="15" r="242">
      <c r="A242" s="24" t="s">
        <v>1538</v>
      </c>
      <c r="B242" s="24" t="s">
        <v>1539</v>
      </c>
      <c r="C242" s="24" t="s">
        <v>1540</v>
      </c>
      <c r="D242" s="25">
        <f>SUMIFS('销售数据明细'!$F:$F, '销售数据明细'!$B:$B, "&gt;="&amp;DATE(2024,LEFT(A242,LEN(A242)-1),1), '销售数据明细'!$B:$B, "&lt;="&amp;EOMONTH(DATE(2024,LEFT(A242,LEN(A242)-1),1),0), '销售数据明细'!$C:$C, B242, '销售数据明细'!$D:$D, C242)</f>
      </c>
      <c r="E242" s="26">
        <f>SUMIFS('销售数据明细'!$H:$H, '销售数据明细'!$B:$B, "&gt;="&amp;DATE(2024,LEFT(A242,LEN(A242)-1),1), '销售数据明细'!$B:$B, "&lt;="&amp;EOMONTH(DATE(2024,LEFT(A242,LEN(A242)-1),1),0), '销售数据明细'!$C:$C, B242, '销售数据明细'!$D:$D, C242)</f>
      </c>
      <c r="F242" s="26">
        <f>SUMIFS('销售数据明细'!$J:$J, '销售数据明细'!$B:$B, "&gt;="&amp;DATE(2024,LEFT(A242,LEN(A242)-1),1), '销售数据明细'!$B:$B, "&lt;="&amp;EOMONTH(DATE(2024,LEFT(A242,LEN(A242)-1),1),0), '销售数据明细'!$C:$C, B242, '销售数据明细'!$D:$D, C242)</f>
      </c>
    </row>
  </sheetData>
  <mergeCells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{"Label":"1","ContentProducer":"001191110102MACQD9K64010000","ProduceID":"7649666855057149166","ReservedCode1":"","ContentPropagator":"","PropagateID":"","ReservedCode2":""}</vt:lpwstr>
  </property>
</Properties>
</file>